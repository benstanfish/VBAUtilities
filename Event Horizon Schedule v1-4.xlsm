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13_ncr:1_{7129A643-D261-4FF2-B15C-6A0AA676A1F6}" xr6:coauthVersionLast="47" xr6:coauthVersionMax="47" xr10:uidLastSave="{00000000-0000-0000-0000-000000000000}"/>
  <bookViews>
    <workbookView xWindow="-108" yWindow="-108" windowWidth="23256" windowHeight="12456" activeTab="1" xr2:uid="{0181C3D7-51E1-418E-9999-54C8180FE8F9}"/>
  </bookViews>
  <sheets>
    <sheet name="Holidays" sheetId="2" r:id="rId1"/>
    <sheet name="Calendar" sheetId="1" r:id="rId2"/>
  </sheets>
  <functionGroups builtInGroupCount="19"/>
  <definedNames>
    <definedName name="_xlnm.Print_Titles" localSheetId="1">Calendar!$1:$3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4" i="1"/>
  <c r="C4" i="1"/>
  <c r="D4" i="1" s="1"/>
  <c r="E4" i="1" s="1"/>
  <c r="F4" i="1" s="1"/>
  <c r="G4" i="1" s="1"/>
  <c r="H4" i="1" s="1"/>
  <c r="B6" i="1" s="1"/>
  <c r="A6" i="1" l="1"/>
  <c r="A7" i="1"/>
  <c r="C6" i="1"/>
  <c r="D6" i="1" s="1"/>
  <c r="E6" i="1" s="1"/>
  <c r="F6" i="1" s="1"/>
  <c r="G6" i="1" s="1"/>
  <c r="H6" i="1" s="1"/>
  <c r="B8" i="1" s="1"/>
  <c r="B7" i="2"/>
  <c r="B17" i="2"/>
  <c r="B21" i="2"/>
  <c r="B18" i="2"/>
  <c r="B28" i="2"/>
  <c r="B25" i="2"/>
  <c r="B10" i="2"/>
  <c r="B12" i="2"/>
  <c r="B4" i="2"/>
  <c r="B27" i="2"/>
  <c r="B22" i="2"/>
  <c r="B9" i="2"/>
  <c r="B29" i="2"/>
  <c r="B30" i="2"/>
  <c r="B8" i="2"/>
  <c r="B23" i="2"/>
  <c r="B15" i="2"/>
  <c r="B14" i="2"/>
  <c r="B26" i="2"/>
  <c r="B24" i="2"/>
  <c r="B31" i="2"/>
  <c r="B5" i="2"/>
  <c r="B34" i="2"/>
  <c r="B33" i="2"/>
  <c r="B6" i="2"/>
  <c r="B13" i="2"/>
  <c r="B19" i="2"/>
  <c r="B11" i="2"/>
  <c r="B16" i="2"/>
  <c r="B32" i="2"/>
  <c r="B20" i="2"/>
  <c r="B35" i="2"/>
  <c r="C8" i="1" l="1"/>
  <c r="D8" i="1" s="1"/>
  <c r="E8" i="1" s="1"/>
  <c r="F8" i="1" s="1"/>
  <c r="G8" i="1" s="1"/>
  <c r="H8" i="1" s="1"/>
  <c r="B10" i="1" s="1"/>
  <c r="A9" i="1"/>
  <c r="A8" i="1"/>
  <c r="C10" i="1" l="1"/>
  <c r="D10" i="1" s="1"/>
  <c r="E10" i="1" s="1"/>
  <c r="F10" i="1" s="1"/>
  <c r="G10" i="1" s="1"/>
  <c r="H10" i="1" s="1"/>
  <c r="B12" i="1" s="1"/>
  <c r="A10" i="1"/>
  <c r="A11" i="1"/>
  <c r="A13" i="1" l="1"/>
  <c r="A12" i="1"/>
  <c r="C12" i="1"/>
  <c r="D12" i="1" s="1"/>
  <c r="E12" i="1" s="1"/>
  <c r="F12" i="1" s="1"/>
  <c r="G12" i="1" s="1"/>
  <c r="H12" i="1" s="1"/>
  <c r="B14" i="1" s="1"/>
  <c r="A14" i="1" l="1"/>
  <c r="A15" i="1"/>
  <c r="C14" i="1"/>
  <c r="D14" i="1" s="1"/>
  <c r="E14" i="1" s="1"/>
  <c r="F14" i="1" s="1"/>
  <c r="G14" i="1" s="1"/>
  <c r="H14" i="1" s="1"/>
  <c r="B16" i="1" s="1"/>
  <c r="A17" i="1" l="1"/>
  <c r="A16" i="1"/>
  <c r="C16" i="1"/>
  <c r="D16" i="1" s="1"/>
  <c r="E16" i="1" s="1"/>
  <c r="F16" i="1" s="1"/>
  <c r="G16" i="1" s="1"/>
  <c r="H16" i="1" s="1"/>
  <c r="B18" i="1" s="1"/>
  <c r="A18" i="1" l="1"/>
  <c r="C18" i="1"/>
  <c r="D18" i="1" s="1"/>
  <c r="E18" i="1" s="1"/>
  <c r="F18" i="1" s="1"/>
  <c r="G18" i="1" s="1"/>
  <c r="H18" i="1" s="1"/>
  <c r="B20" i="1" s="1"/>
  <c r="A19" i="1"/>
  <c r="A21" i="1" l="1"/>
  <c r="A20" i="1"/>
  <c r="C20" i="1"/>
  <c r="D20" i="1" s="1"/>
  <c r="E20" i="1" s="1"/>
  <c r="F20" i="1" s="1"/>
  <c r="G20" i="1" s="1"/>
  <c r="H20" i="1" s="1"/>
  <c r="B22" i="1" s="1"/>
  <c r="A22" i="1" l="1"/>
  <c r="A23" i="1"/>
  <c r="C22" i="1"/>
  <c r="D22" i="1" s="1"/>
  <c r="E22" i="1" s="1"/>
  <c r="F22" i="1" s="1"/>
  <c r="G22" i="1" s="1"/>
  <c r="H22" i="1" s="1"/>
  <c r="B24" i="1" s="1"/>
  <c r="C24" i="1" l="1"/>
  <c r="D24" i="1" s="1"/>
  <c r="E24" i="1" s="1"/>
  <c r="F24" i="1" s="1"/>
  <c r="G24" i="1" s="1"/>
  <c r="H24" i="1" s="1"/>
  <c r="B26" i="1" s="1"/>
  <c r="A24" i="1"/>
  <c r="A25" i="1"/>
  <c r="A26" i="1" l="1"/>
  <c r="C26" i="1"/>
  <c r="D26" i="1" s="1"/>
  <c r="E26" i="1" s="1"/>
  <c r="F26" i="1" s="1"/>
  <c r="G26" i="1" s="1"/>
  <c r="H26" i="1" s="1"/>
  <c r="B28" i="1" s="1"/>
  <c r="A27" i="1"/>
  <c r="A29" i="1" l="1"/>
  <c r="A28" i="1"/>
  <c r="C28" i="1"/>
  <c r="D28" i="1" s="1"/>
  <c r="E28" i="1" s="1"/>
  <c r="F28" i="1" s="1"/>
  <c r="G28" i="1" s="1"/>
  <c r="H28" i="1" s="1"/>
  <c r="B30" i="1" s="1"/>
  <c r="A31" i="1" l="1"/>
  <c r="A30" i="1"/>
  <c r="C30" i="1"/>
  <c r="D30" i="1" s="1"/>
  <c r="E30" i="1" s="1"/>
  <c r="F30" i="1" s="1"/>
  <c r="G30" i="1" s="1"/>
  <c r="H30" i="1" s="1"/>
  <c r="B32" i="1" s="1"/>
  <c r="C32" i="1" l="1"/>
  <c r="D32" i="1" s="1"/>
  <c r="E32" i="1" s="1"/>
  <c r="F32" i="1" s="1"/>
  <c r="G32" i="1" s="1"/>
  <c r="H32" i="1" s="1"/>
  <c r="B34" i="1" s="1"/>
  <c r="A33" i="1"/>
  <c r="A32" i="1"/>
  <c r="C34" i="1" l="1"/>
  <c r="D34" i="1" s="1"/>
  <c r="E34" i="1" s="1"/>
  <c r="F34" i="1" s="1"/>
  <c r="G34" i="1" s="1"/>
  <c r="H34" i="1" s="1"/>
  <c r="B36" i="1" s="1"/>
  <c r="A34" i="1"/>
  <c r="A35" i="1"/>
  <c r="A37" i="1" l="1"/>
  <c r="A36" i="1"/>
  <c r="C36" i="1"/>
  <c r="D36" i="1" s="1"/>
  <c r="E36" i="1" s="1"/>
  <c r="F36" i="1" s="1"/>
  <c r="G36" i="1" s="1"/>
  <c r="H36" i="1" s="1"/>
  <c r="B38" i="1" s="1"/>
  <c r="A38" i="1" l="1"/>
  <c r="A39" i="1"/>
  <c r="C38" i="1"/>
  <c r="D38" i="1" s="1"/>
  <c r="E38" i="1" s="1"/>
  <c r="F38" i="1" s="1"/>
  <c r="G38" i="1" s="1"/>
  <c r="H38" i="1" s="1"/>
  <c r="B40" i="1" s="1"/>
  <c r="C40" i="1" l="1"/>
  <c r="D40" i="1" s="1"/>
  <c r="E40" i="1" s="1"/>
  <c r="F40" i="1" s="1"/>
  <c r="G40" i="1" s="1"/>
  <c r="H40" i="1" s="1"/>
  <c r="B42" i="1" s="1"/>
  <c r="A41" i="1"/>
  <c r="A40" i="1"/>
  <c r="C42" i="1" l="1"/>
  <c r="D42" i="1" s="1"/>
  <c r="E42" i="1" s="1"/>
  <c r="F42" i="1" s="1"/>
  <c r="G42" i="1" s="1"/>
  <c r="H42" i="1" s="1"/>
  <c r="B44" i="1" s="1"/>
  <c r="A42" i="1"/>
  <c r="A43" i="1"/>
  <c r="A45" i="1" l="1"/>
  <c r="A44" i="1"/>
  <c r="C44" i="1"/>
  <c r="D44" i="1" s="1"/>
  <c r="E44" i="1" s="1"/>
  <c r="F44" i="1" s="1"/>
  <c r="G44" i="1" s="1"/>
  <c r="H44" i="1" s="1"/>
  <c r="B46" i="1" s="1"/>
  <c r="A47" i="1" l="1"/>
  <c r="A46" i="1"/>
  <c r="C46" i="1"/>
  <c r="D46" i="1" s="1"/>
  <c r="E46" i="1" s="1"/>
  <c r="F46" i="1" s="1"/>
  <c r="G46" i="1" s="1"/>
  <c r="H46" i="1" s="1"/>
  <c r="B48" i="1" s="1"/>
  <c r="C48" i="1" l="1"/>
  <c r="D48" i="1" s="1"/>
  <c r="E48" i="1" s="1"/>
  <c r="F48" i="1" s="1"/>
  <c r="G48" i="1" s="1"/>
  <c r="H48" i="1" s="1"/>
  <c r="B50" i="1" s="1"/>
  <c r="A49" i="1"/>
  <c r="A48" i="1"/>
  <c r="C50" i="1" l="1"/>
  <c r="D50" i="1" s="1"/>
  <c r="E50" i="1" s="1"/>
  <c r="F50" i="1" s="1"/>
  <c r="G50" i="1" s="1"/>
  <c r="H50" i="1" s="1"/>
  <c r="B52" i="1" s="1"/>
  <c r="A51" i="1"/>
  <c r="A50" i="1"/>
  <c r="A53" i="1" l="1"/>
  <c r="A52" i="1"/>
  <c r="C52" i="1"/>
  <c r="D52" i="1" s="1"/>
  <c r="E52" i="1" s="1"/>
  <c r="F52" i="1" s="1"/>
  <c r="G52" i="1" s="1"/>
  <c r="H52" i="1" s="1"/>
  <c r="B54" i="1" s="1"/>
  <c r="A55" i="1" l="1"/>
  <c r="A54" i="1"/>
  <c r="C54" i="1"/>
  <c r="D54" i="1" s="1"/>
  <c r="E54" i="1" s="1"/>
  <c r="F54" i="1" s="1"/>
  <c r="G54" i="1" s="1"/>
  <c r="H54" i="1" s="1"/>
  <c r="B56" i="1" s="1"/>
  <c r="C56" i="1" l="1"/>
  <c r="D56" i="1" s="1"/>
  <c r="E56" i="1" s="1"/>
  <c r="F56" i="1" s="1"/>
  <c r="G56" i="1" s="1"/>
  <c r="H56" i="1" s="1"/>
  <c r="B58" i="1" s="1"/>
  <c r="A57" i="1"/>
  <c r="A56" i="1"/>
  <c r="C58" i="1" l="1"/>
  <c r="D58" i="1" s="1"/>
  <c r="E58" i="1" s="1"/>
  <c r="F58" i="1" s="1"/>
  <c r="G58" i="1" s="1"/>
  <c r="H58" i="1" s="1"/>
  <c r="B60" i="1" s="1"/>
  <c r="A58" i="1"/>
  <c r="A59" i="1"/>
  <c r="A61" i="1" l="1"/>
  <c r="A60" i="1"/>
  <c r="C60" i="1"/>
  <c r="D60" i="1" s="1"/>
  <c r="E60" i="1" s="1"/>
  <c r="F60" i="1" s="1"/>
  <c r="G60" i="1" s="1"/>
  <c r="H60" i="1" s="1"/>
  <c r="B62" i="1" s="1"/>
  <c r="A63" i="1" l="1"/>
  <c r="A62" i="1"/>
  <c r="C62" i="1"/>
  <c r="D62" i="1" s="1"/>
  <c r="E62" i="1" s="1"/>
  <c r="F62" i="1" s="1"/>
  <c r="G62" i="1" s="1"/>
  <c r="H62" i="1" s="1"/>
  <c r="B64" i="1" s="1"/>
  <c r="C64" i="1" l="1"/>
  <c r="D64" i="1" s="1"/>
  <c r="E64" i="1" s="1"/>
  <c r="F64" i="1" s="1"/>
  <c r="G64" i="1" s="1"/>
  <c r="H64" i="1" s="1"/>
  <c r="B66" i="1" s="1"/>
  <c r="A65" i="1"/>
  <c r="A64" i="1"/>
  <c r="C66" i="1" l="1"/>
  <c r="D66" i="1" s="1"/>
  <c r="E66" i="1" s="1"/>
  <c r="F66" i="1" s="1"/>
  <c r="G66" i="1" s="1"/>
  <c r="H66" i="1" s="1"/>
  <c r="B68" i="1" s="1"/>
  <c r="A67" i="1"/>
  <c r="A66" i="1"/>
  <c r="A69" i="1" l="1"/>
  <c r="A68" i="1"/>
  <c r="C68" i="1"/>
  <c r="D68" i="1" s="1"/>
  <c r="E68" i="1" s="1"/>
  <c r="F68" i="1" s="1"/>
  <c r="G68" i="1" s="1"/>
  <c r="H68" i="1" s="1"/>
  <c r="B70" i="1" s="1"/>
  <c r="A71" i="1" l="1"/>
  <c r="A70" i="1"/>
  <c r="C70" i="1"/>
  <c r="D70" i="1" s="1"/>
  <c r="E70" i="1" s="1"/>
  <c r="F70" i="1" s="1"/>
  <c r="G70" i="1" s="1"/>
  <c r="H70" i="1" s="1"/>
  <c r="B72" i="1" s="1"/>
  <c r="C72" i="1" l="1"/>
  <c r="D72" i="1" s="1"/>
  <c r="E72" i="1" s="1"/>
  <c r="F72" i="1" s="1"/>
  <c r="G72" i="1" s="1"/>
  <c r="H72" i="1" s="1"/>
  <c r="B74" i="1" s="1"/>
  <c r="A73" i="1"/>
  <c r="A72" i="1"/>
  <c r="C74" i="1" l="1"/>
  <c r="D74" i="1" s="1"/>
  <c r="E74" i="1" s="1"/>
  <c r="F74" i="1" s="1"/>
  <c r="G74" i="1" s="1"/>
  <c r="H74" i="1" s="1"/>
  <c r="B76" i="1" s="1"/>
  <c r="A75" i="1"/>
  <c r="A74" i="1"/>
  <c r="A77" i="1" l="1"/>
  <c r="A76" i="1"/>
  <c r="C76" i="1"/>
  <c r="D76" i="1" s="1"/>
  <c r="E76" i="1" s="1"/>
  <c r="F76" i="1" s="1"/>
  <c r="G76" i="1" s="1"/>
  <c r="H76" i="1" s="1"/>
  <c r="B78" i="1" s="1"/>
  <c r="A79" i="1" l="1"/>
  <c r="A78" i="1"/>
  <c r="C78" i="1"/>
  <c r="D78" i="1" s="1"/>
  <c r="E78" i="1" s="1"/>
  <c r="F78" i="1" s="1"/>
  <c r="G78" i="1" s="1"/>
  <c r="H78" i="1" s="1"/>
  <c r="B80" i="1" s="1"/>
  <c r="C80" i="1" l="1"/>
  <c r="D80" i="1" s="1"/>
  <c r="E80" i="1" s="1"/>
  <c r="F80" i="1" s="1"/>
  <c r="G80" i="1" s="1"/>
  <c r="H80" i="1" s="1"/>
  <c r="B82" i="1" s="1"/>
  <c r="A81" i="1"/>
  <c r="A80" i="1"/>
  <c r="C82" i="1" l="1"/>
  <c r="D82" i="1" s="1"/>
  <c r="E82" i="1" s="1"/>
  <c r="F82" i="1" s="1"/>
  <c r="G82" i="1" s="1"/>
  <c r="H82" i="1" s="1"/>
  <c r="B84" i="1" s="1"/>
  <c r="A83" i="1"/>
  <c r="A82" i="1"/>
  <c r="A85" i="1" l="1"/>
  <c r="A84" i="1"/>
  <c r="C84" i="1"/>
  <c r="D84" i="1" s="1"/>
  <c r="E84" i="1" s="1"/>
  <c r="F84" i="1" s="1"/>
  <c r="G84" i="1" s="1"/>
  <c r="H84" i="1" s="1"/>
  <c r="B86" i="1" s="1"/>
  <c r="A86" i="1" l="1"/>
  <c r="A87" i="1"/>
  <c r="C86" i="1"/>
  <c r="D86" i="1" s="1"/>
  <c r="E86" i="1" s="1"/>
  <c r="F86" i="1" s="1"/>
  <c r="G86" i="1" s="1"/>
  <c r="H86" i="1" s="1"/>
  <c r="B88" i="1" s="1"/>
  <c r="C88" i="1" l="1"/>
  <c r="D88" i="1" s="1"/>
  <c r="E88" i="1" s="1"/>
  <c r="F88" i="1" s="1"/>
  <c r="G88" i="1" s="1"/>
  <c r="H88" i="1" s="1"/>
  <c r="B90" i="1" s="1"/>
  <c r="A89" i="1"/>
  <c r="A88" i="1"/>
  <c r="C90" i="1" l="1"/>
  <c r="D90" i="1" s="1"/>
  <c r="E90" i="1" s="1"/>
  <c r="F90" i="1" s="1"/>
  <c r="G90" i="1" s="1"/>
  <c r="H90" i="1" s="1"/>
  <c r="B92" i="1" s="1"/>
  <c r="A91" i="1"/>
  <c r="A90" i="1"/>
  <c r="A93" i="1" l="1"/>
  <c r="A92" i="1"/>
  <c r="C92" i="1"/>
  <c r="D92" i="1" s="1"/>
  <c r="E92" i="1" s="1"/>
  <c r="F92" i="1" s="1"/>
  <c r="G92" i="1" s="1"/>
  <c r="H92" i="1" s="1"/>
  <c r="B94" i="1" s="1"/>
  <c r="A95" i="1" l="1"/>
  <c r="A94" i="1"/>
  <c r="C94" i="1"/>
  <c r="D94" i="1" s="1"/>
  <c r="E94" i="1" s="1"/>
  <c r="F94" i="1" s="1"/>
  <c r="G94" i="1" s="1"/>
  <c r="H94" i="1" s="1"/>
  <c r="B96" i="1" s="1"/>
  <c r="C96" i="1" l="1"/>
  <c r="D96" i="1" s="1"/>
  <c r="E96" i="1" s="1"/>
  <c r="F96" i="1" s="1"/>
  <c r="G96" i="1" s="1"/>
  <c r="H96" i="1" s="1"/>
  <c r="B98" i="1" s="1"/>
  <c r="A97" i="1"/>
  <c r="A96" i="1"/>
  <c r="C98" i="1" l="1"/>
  <c r="D98" i="1" s="1"/>
  <c r="E98" i="1" s="1"/>
  <c r="F98" i="1" s="1"/>
  <c r="G98" i="1" s="1"/>
  <c r="H98" i="1" s="1"/>
  <c r="B100" i="1" s="1"/>
  <c r="A99" i="1"/>
  <c r="A98" i="1"/>
  <c r="A101" i="1" l="1"/>
  <c r="A100" i="1"/>
  <c r="C100" i="1"/>
  <c r="D100" i="1" s="1"/>
  <c r="E100" i="1" s="1"/>
  <c r="F100" i="1" s="1"/>
  <c r="G100" i="1" s="1"/>
  <c r="H100" i="1" s="1"/>
  <c r="B102" i="1" s="1"/>
  <c r="A103" i="1" l="1"/>
  <c r="A102" i="1"/>
  <c r="C102" i="1"/>
  <c r="D102" i="1" s="1"/>
  <c r="E102" i="1" s="1"/>
  <c r="F102" i="1" s="1"/>
  <c r="G102" i="1" s="1"/>
  <c r="H102" i="1" s="1"/>
  <c r="B104" i="1" s="1"/>
  <c r="C104" i="1" l="1"/>
  <c r="D104" i="1" s="1"/>
  <c r="E104" i="1" s="1"/>
  <c r="F104" i="1" s="1"/>
  <c r="G104" i="1" s="1"/>
  <c r="H104" i="1" s="1"/>
  <c r="B106" i="1" s="1"/>
  <c r="A105" i="1"/>
  <c r="A104" i="1"/>
  <c r="C106" i="1" l="1"/>
  <c r="D106" i="1" s="1"/>
  <c r="E106" i="1" s="1"/>
  <c r="F106" i="1" s="1"/>
  <c r="G106" i="1" s="1"/>
  <c r="H106" i="1" s="1"/>
  <c r="B108" i="1" s="1"/>
  <c r="A107" i="1"/>
  <c r="A106" i="1"/>
  <c r="A109" i="1" l="1"/>
  <c r="A108" i="1"/>
  <c r="C108" i="1"/>
  <c r="D108" i="1" s="1"/>
  <c r="E108" i="1" s="1"/>
  <c r="F108" i="1" s="1"/>
  <c r="G108" i="1" s="1"/>
  <c r="H108" i="1" s="1"/>
</calcChain>
</file>

<file path=xl/sharedStrings.xml><?xml version="1.0" encoding="utf-8"?>
<sst xmlns="http://schemas.openxmlformats.org/spreadsheetml/2006/main" count="107" uniqueCount="68">
  <si>
    <t>Mon</t>
  </si>
  <si>
    <t>Tue</t>
  </si>
  <si>
    <t>Wed</t>
  </si>
  <si>
    <t>Thu</t>
  </si>
  <si>
    <t>Fri</t>
  </si>
  <si>
    <t>Sat</t>
  </si>
  <si>
    <t>Week</t>
  </si>
  <si>
    <t>Date</t>
  </si>
  <si>
    <t>Country</t>
  </si>
  <si>
    <t>Day</t>
  </si>
  <si>
    <t>President's Day</t>
  </si>
  <si>
    <t>Memorial Day</t>
  </si>
  <si>
    <t>Juneteenth</t>
  </si>
  <si>
    <t>Independence Day</t>
  </si>
  <si>
    <t>Labor Day</t>
  </si>
  <si>
    <t>Columbus Day</t>
  </si>
  <si>
    <t>Japan</t>
  </si>
  <si>
    <t>Sun</t>
  </si>
  <si>
    <t>Holiday</t>
  </si>
  <si>
    <t>Holiday Table</t>
  </si>
  <si>
    <t>New Year Day</t>
  </si>
  <si>
    <t>MLJK Day</t>
  </si>
  <si>
    <t>Veterans Day</t>
  </si>
  <si>
    <t>Thanksgiving</t>
  </si>
  <si>
    <t>Christmas</t>
  </si>
  <si>
    <t>USA</t>
  </si>
  <si>
    <t>成人の日</t>
  </si>
  <si>
    <t>成人の日 (Japan)</t>
  </si>
  <si>
    <t>建国記念の日</t>
  </si>
  <si>
    <t>建国記念の日（休日）</t>
  </si>
  <si>
    <t>天皇誕生日</t>
  </si>
  <si>
    <t>春分の日</t>
  </si>
  <si>
    <t>昭和の日</t>
  </si>
  <si>
    <t>憲法記念日</t>
  </si>
  <si>
    <t>みどりの日</t>
  </si>
  <si>
    <t>こどもの日</t>
  </si>
  <si>
    <t>こどもの日（休日）</t>
  </si>
  <si>
    <t>海の日</t>
  </si>
  <si>
    <t>山の日</t>
  </si>
  <si>
    <t>山の日（休日）</t>
  </si>
  <si>
    <t>敬老の日</t>
  </si>
  <si>
    <t>秋分の日</t>
  </si>
  <si>
    <t>秋分の日（休日）</t>
  </si>
  <si>
    <t>スポーツの日</t>
  </si>
  <si>
    <t>文化の日</t>
  </si>
  <si>
    <t>文化の日（休日）</t>
  </si>
  <si>
    <t>勤労感謝の日</t>
  </si>
  <si>
    <t>元日</t>
  </si>
  <si>
    <t>建国記念の日 (Japan)</t>
  </si>
  <si>
    <t>建国記念の日（休日） (Japan)</t>
  </si>
  <si>
    <t>春分の日 (Japan)</t>
  </si>
  <si>
    <t>昭和の日 (Japan)</t>
  </si>
  <si>
    <t>憲法記念日 (Japan)</t>
  </si>
  <si>
    <t>みどりの日 (Japan)</t>
  </si>
  <si>
    <t>こどもの日 (Japan)</t>
  </si>
  <si>
    <t>こどもの日（休日） (Japan)</t>
  </si>
  <si>
    <t>海の日 (Japan)</t>
  </si>
  <si>
    <t>山の日 (Japan)</t>
  </si>
  <si>
    <t>山の日（休日） (Japan)</t>
  </si>
  <si>
    <t>敬老の日 (Japan)</t>
  </si>
  <si>
    <t>秋分の日 (Japan)</t>
  </si>
  <si>
    <t>秋分の日（休日） (Japan)</t>
  </si>
  <si>
    <t>文化の日 (Japan)</t>
  </si>
  <si>
    <t>文化の日（休日） (Japan)</t>
  </si>
  <si>
    <t>勤労感謝の日 (Japan)</t>
  </si>
  <si>
    <t>天皇誕生日 (Japan)</t>
  </si>
  <si>
    <t>New Year Day
元日 (Japan)</t>
  </si>
  <si>
    <t>Columbus Day
スポーツの日 (Japan)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</si>
</sst>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yyyy/mm/dd"/>
    <numFmt numFmtId="166" formatCode="mmm\ d"/>
  </numFmts>
  <fonts count="7" x14ac:knownFonts="1"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rgb="FFFF4500"/>
      <name val="Arial"/>
      <family val="2"/>
    </font>
    <font>
      <sz val="9"/>
      <color rgb="FF77889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mediumGray">
        <fgColor rgb="FFFFFACD"/>
        <bgColor rgb="FFF0F8FF"/>
      </patternFill>
    </fill>
    <fill>
      <patternFill patternType="mediumGray">
        <fgColor rgb="FFFFFACD"/>
      </patternFill>
    </fill>
    <fill>
      <patternFill patternType="mediumGray">
        <fgColor rgb="FFFFB6C1"/>
      </patternFill>
    </fill>
    <fill>
      <patternFill patternType="mediumGray">
        <fgColor rgb="FFFFB6C1"/>
        <bgColor rgb="FFF0F8FF"/>
      </patternFill>
    </fill>
    <fill>
      <patternFill patternType="lightGray">
        <fgColor rgb="FF00FF7F"/>
      </patternFill>
    </fill>
    <fill>
      <patternFill patternType="lightGray">
        <fgColor rgb="FF00FF7F"/>
        <bgColor rgb="FFF0F8FF"/>
      </patternFill>
    </fill>
  </fills>
  <borders count="13">
    <border>
      <left/>
      <right/>
      <top/>
      <bottom/>
      <diagonal/>
    </border>
    <border>
      <left style="thin">
        <color rgb="FF4682B4"/>
      </left>
      <right style="thin">
        <color rgb="FF4682B4"/>
      </right>
      <top/>
      <bottom/>
      <diagonal/>
    </border>
    <border>
      <left style="thin">
        <color rgb="FF4682B4"/>
      </left>
      <right style="thin">
        <color rgb="FF4682B4"/>
      </right>
      <top style="thin">
        <color rgb="FF4682B4"/>
      </top>
      <bottom/>
      <diagonal/>
    </border>
    <border>
      <left style="thick">
        <color rgb="FF4682B4"/>
      </left>
      <right style="thin">
        <color rgb="FF4682B4"/>
      </right>
      <top style="thick">
        <color rgb="FF4682B4"/>
      </top>
      <bottom/>
      <diagonal/>
    </border>
    <border>
      <left style="thin">
        <color rgb="FF4682B4"/>
      </left>
      <right style="thin">
        <color rgb="FF4682B4"/>
      </right>
      <top style="thick">
        <color rgb="FF4682B4"/>
      </top>
      <bottom/>
      <diagonal/>
    </border>
    <border>
      <left style="thin">
        <color rgb="FF4682B4"/>
      </left>
      <right style="thick">
        <color rgb="FF4682B4"/>
      </right>
      <top style="thick">
        <color rgb="FF4682B4"/>
      </top>
      <bottom/>
      <diagonal/>
    </border>
    <border>
      <left style="thick">
        <color rgb="FF4682B4"/>
      </left>
      <right style="thin">
        <color rgb="FF4682B4"/>
      </right>
      <top/>
      <bottom/>
      <diagonal/>
    </border>
    <border>
      <left style="thin">
        <color rgb="FF4682B4"/>
      </left>
      <right style="thick">
        <color rgb="FF4682B4"/>
      </right>
      <top/>
      <bottom/>
      <diagonal/>
    </border>
    <border>
      <left style="thick">
        <color rgb="FF4682B4"/>
      </left>
      <right style="thin">
        <color rgb="FF4682B4"/>
      </right>
      <top style="thin">
        <color rgb="FF4682B4"/>
      </top>
      <bottom/>
      <diagonal/>
    </border>
    <border>
      <left style="thin">
        <color rgb="FF4682B4"/>
      </left>
      <right style="thick">
        <color rgb="FF4682B4"/>
      </right>
      <top style="thin">
        <color rgb="FF4682B4"/>
      </top>
      <bottom/>
      <diagonal/>
    </border>
    <border>
      <left style="thick">
        <color rgb="FF4682B4"/>
      </left>
      <right style="thin">
        <color rgb="FF4682B4"/>
      </right>
      <top/>
      <bottom style="thick">
        <color rgb="FF4682B4"/>
      </bottom>
      <diagonal/>
    </border>
    <border>
      <left style="thin">
        <color rgb="FF4682B4"/>
      </left>
      <right style="thin">
        <color rgb="FF4682B4"/>
      </right>
      <top/>
      <bottom style="thick">
        <color rgb="FF4682B4"/>
      </bottom>
      <diagonal/>
    </border>
    <border>
      <left style="thin">
        <color rgb="FF4682B4"/>
      </left>
      <right style="thick">
        <color rgb="FF4682B4"/>
      </right>
      <top/>
      <bottom style="thick">
        <color rgb="FF4682B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164" fontId="4" fillId="2" borderId="2" xfId="0" applyNumberFormat="1" applyFont="1" applyFill="1" applyBorder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left"/>
    </xf>
    <xf numFmtId="165" fontId="2" fillId="0" borderId="0" xfId="0" applyNumberFormat="1" applyFont="1" applyAlignment="1">
      <alignment horizontal="left"/>
    </xf>
    <xf numFmtId="166" fontId="3" fillId="2" borderId="2" xfId="0" applyNumberFormat="1" applyFont="1" applyFill="1" applyBorder="1" applyAlignment="1">
      <alignment horizontal="left"/>
    </xf>
    <xf numFmtId="164" fontId="4" fillId="3" borderId="3" xfId="0" applyNumberFormat="1" applyFont="1" applyFill="1" applyBorder="1" applyAlignment="1">
      <alignment horizontal="left"/>
    </xf>
    <xf numFmtId="164" fontId="4" fillId="4" borderId="8" xfId="0" applyNumberFormat="1" applyFont="1" applyFill="1" applyBorder="1" applyAlignment="1">
      <alignment horizontal="left"/>
    </xf>
    <xf numFmtId="164" fontId="4" fillId="3" borderId="8" xfId="0" applyNumberFormat="1" applyFont="1" applyFill="1" applyBorder="1" applyAlignment="1">
      <alignment horizontal="left"/>
    </xf>
    <xf numFmtId="166" fontId="3" fillId="4" borderId="8" xfId="0" applyNumberFormat="1" applyFont="1" applyFill="1" applyBorder="1" applyAlignment="1">
      <alignment horizontal="left"/>
    </xf>
    <xf numFmtId="166" fontId="3" fillId="3" borderId="8" xfId="0" applyNumberFormat="1" applyFont="1" applyFill="1" applyBorder="1" applyAlignment="1">
      <alignment horizontal="left"/>
    </xf>
    <xf numFmtId="164" fontId="4" fillId="4" borderId="5" xfId="0" applyNumberFormat="1" applyFont="1" applyFill="1" applyBorder="1" applyAlignment="1">
      <alignment horizontal="left"/>
    </xf>
    <xf numFmtId="164" fontId="4" fillId="4" borderId="9" xfId="0" applyNumberFormat="1" applyFont="1" applyFill="1" applyBorder="1" applyAlignment="1">
      <alignment horizontal="left"/>
    </xf>
    <xf numFmtId="164" fontId="4" fillId="3" borderId="9" xfId="0" applyNumberFormat="1" applyFont="1" applyFill="1" applyBorder="1" applyAlignment="1">
      <alignment horizontal="left"/>
    </xf>
    <xf numFmtId="166" fontId="3" fillId="3" borderId="9" xfId="0" applyNumberFormat="1" applyFont="1" applyFill="1" applyBorder="1" applyAlignment="1">
      <alignment horizontal="left"/>
    </xf>
    <xf numFmtId="0" fontId="5" fillId="3" borderId="6" xfId="0" applyFont="1" applyFill="1" applyBorder="1" applyAlignment="1">
      <alignment horizontal="left" vertical="top"/>
    </xf>
    <xf numFmtId="0" fontId="5" fillId="4" borderId="6" xfId="0" applyFont="1" applyFill="1" applyBorder="1" applyAlignment="1">
      <alignment horizontal="left" vertical="top"/>
    </xf>
    <xf numFmtId="0" fontId="5" fillId="4" borderId="7" xfId="0" applyFont="1" applyFill="1" applyBorder="1" applyAlignment="1">
      <alignment horizontal="left" vertical="top"/>
    </xf>
    <xf numFmtId="166" fontId="3" fillId="5" borderId="4" xfId="0" applyNumberFormat="1" applyFont="1" applyFill="1" applyBorder="1" applyAlignment="1">
      <alignment horizontal="left"/>
    </xf>
    <xf numFmtId="0" fontId="5" fillId="5" borderId="1" xfId="0" applyFont="1" applyFill="1" applyBorder="1" applyAlignment="1">
      <alignment horizontal="left" vertical="top"/>
    </xf>
    <xf numFmtId="164" fontId="4" fillId="5" borderId="2" xfId="0" applyNumberFormat="1" applyFont="1" applyFill="1" applyBorder="1" applyAlignment="1">
      <alignment horizontal="left"/>
    </xf>
    <xf numFmtId="164" fontId="4" fillId="6" borderId="2" xfId="0" applyNumberFormat="1" applyFont="1" applyFill="1" applyBorder="1" applyAlignment="1">
      <alignment horizontal="left"/>
    </xf>
    <xf numFmtId="0" fontId="5" fillId="6" borderId="1" xfId="0" applyFont="1" applyFill="1" applyBorder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5" borderId="1" xfId="0" applyFont="1" applyFill="1" applyBorder="1" applyAlignment="1">
      <alignment horizontal="left" vertical="top" wrapText="1"/>
    </xf>
    <xf numFmtId="0" fontId="5" fillId="6" borderId="1" xfId="0" applyFont="1" applyFill="1" applyBorder="1" applyAlignment="1">
      <alignment horizontal="left" vertical="top" wrapText="1"/>
    </xf>
    <xf numFmtId="0" fontId="5" fillId="7" borderId="1" xfId="0" applyFont="1" applyFill="1" applyBorder="1" applyAlignment="1">
      <alignment horizontal="left" vertical="top"/>
    </xf>
    <xf numFmtId="164" fontId="4" fillId="7" borderId="2" xfId="0" applyNumberFormat="1" applyFont="1" applyFill="1" applyBorder="1" applyAlignment="1">
      <alignment horizontal="left"/>
    </xf>
    <xf numFmtId="164" fontId="4" fillId="8" borderId="2" xfId="0" applyNumberFormat="1" applyFont="1" applyFill="1" applyBorder="1" applyAlignment="1">
      <alignment horizontal="left"/>
    </xf>
    <xf numFmtId="0" fontId="5" fillId="8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4" borderId="7" xfId="0" applyFont="1" applyFill="1" applyBorder="1" applyAlignment="1">
      <alignment horizontal="left" vertical="top"/>
    </xf>
    <xf numFmtId="0" fontId="1" fillId="4" borderId="6" xfId="0" applyFont="1" applyFill="1" applyBorder="1" applyAlignment="1">
      <alignment horizontal="left" vertical="top"/>
    </xf>
    <xf numFmtId="0" fontId="1" fillId="3" borderId="7" xfId="0" applyFont="1" applyFill="1" applyBorder="1" applyAlignment="1">
      <alignment horizontal="left" vertical="top"/>
    </xf>
    <xf numFmtId="0" fontId="1" fillId="3" borderId="10" xfId="0" applyFont="1" applyFill="1" applyBorder="1" applyAlignment="1">
      <alignment horizontal="left" vertical="top"/>
    </xf>
    <xf numFmtId="0" fontId="1" fillId="2" borderId="11" xfId="0" applyFont="1" applyFill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4" borderId="12" xfId="0" applyFont="1" applyFill="1" applyBorder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4" fillId="0" borderId="2" xfId="0" applyNumberFormat="1" applyFont="1" applyFill="1" applyBorder="1" applyAlignment="1">
      <alignment horizontal="left"/>
    </xf>
    <xf numFmtId="164" fontId="4" fillId="0" borderId="4" xfId="0" applyNumberFormat="1" applyFont="1" applyFill="1" applyBorder="1" applyAlignment="1">
      <alignment horizontal="left"/>
    </xf>
    <xf numFmtId="166" fontId="3" fillId="0" borderId="2" xfId="0" applyNumberFormat="1" applyFont="1" applyFill="1" applyBorder="1" applyAlignment="1">
      <alignment horizontal="left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yyyy/mm/dd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E46CB2-546C-4932-9ECC-6EC6D2CA07DC}" name="HolidayTable" displayName="HolidayTable" ref="A3:D35" totalsRowShown="0" headerRowDxfId="5" dataDxfId="4">
  <autoFilter ref="A3:D35" xr:uid="{20E46CB2-546C-4932-9ECC-6EC6D2CA07DC}"/>
  <sortState xmlns:xlrd2="http://schemas.microsoft.com/office/spreadsheetml/2017/richdata2" ref="A4:D35">
    <sortCondition ref="A3:A35"/>
  </sortState>
  <tableColumns count="4">
    <tableColumn id="1" xr3:uid="{ED2A82AE-A906-40D0-B0C6-F1333E3D1F68}" name="Date" dataDxfId="3"/>
    <tableColumn id="2" xr3:uid="{37E6D704-10AF-45AA-8609-7806C232E4FF}" name="Day" dataDxfId="2">
      <calculatedColumnFormula>DAYnAME(WEEKDAY(A4))</calculatedColumnFormula>
    </tableColumn>
    <tableColumn id="3" xr3:uid="{59095778-7EBA-431C-8A7F-5FE92FDC4976}" name="Holiday" dataDxfId="1"/>
    <tableColumn id="4" xr3:uid="{FD2A6291-227D-444D-9FC5-86B7F9B3226F}" name="Count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2A702-323E-4FEF-8950-B386BD7F50F5}">
  <sheetPr codeName="HolidaySheet"/>
  <dimension ref="A1:D35"/>
  <sheetViews>
    <sheetView showGridLines="0" workbookViewId="0">
      <selection activeCell="D5" sqref="D5"/>
    </sheetView>
  </sheetViews>
  <sheetFormatPr defaultColWidth="9.109375" defaultRowHeight="11.4" x14ac:dyDescent="0.2"/>
  <cols>
    <col min="1" max="1" width="12.6640625" style="1" customWidth="1"/>
    <col min="2" max="2" width="10.6640625" style="1" customWidth="1"/>
    <col min="3" max="3" width="25.6640625" style="1" customWidth="1"/>
    <col min="4" max="4" width="15.6640625" style="1" customWidth="1"/>
    <col min="5" max="16384" width="9.109375" style="1"/>
  </cols>
  <sheetData>
    <row r="1" spans="1:4" ht="15.6" x14ac:dyDescent="0.3">
      <c r="A1" s="4" t="s">
        <v>19</v>
      </c>
    </row>
    <row r="3" spans="1:4" x14ac:dyDescent="0.2">
      <c r="A3" s="1" t="s">
        <v>7</v>
      </c>
      <c r="B3" s="1" t="s">
        <v>9</v>
      </c>
      <c r="C3" s="1" t="s">
        <v>18</v>
      </c>
      <c r="D3" s="1" t="s">
        <v>8</v>
      </c>
    </row>
    <row r="4" spans="1:4" x14ac:dyDescent="0.2">
      <c r="A4" s="6">
        <v>45292</v>
      </c>
      <c r="B4" s="5" t="str">
        <f t="shared" ref="B4:B35" si="0">DAYnAME(WEEKDAY(A4))</f>
        <v>Mon</v>
      </c>
      <c r="C4" s="5" t="s">
        <v>20</v>
      </c>
      <c r="D4" s="5" t="s">
        <v>25</v>
      </c>
    </row>
    <row r="5" spans="1:4" x14ac:dyDescent="0.2">
      <c r="A5" s="6">
        <v>45292</v>
      </c>
      <c r="B5" s="5" t="str">
        <f t="shared" si="0"/>
        <v>Mon</v>
      </c>
      <c r="C5" s="5" t="s">
        <v>47</v>
      </c>
      <c r="D5" s="5" t="s">
        <v>16</v>
      </c>
    </row>
    <row r="6" spans="1:4" x14ac:dyDescent="0.2">
      <c r="A6" s="6">
        <v>45299</v>
      </c>
      <c r="B6" s="5" t="str">
        <f t="shared" si="0"/>
        <v>Mon</v>
      </c>
      <c r="C6" s="5" t="s">
        <v>26</v>
      </c>
      <c r="D6" s="5" t="s">
        <v>16</v>
      </c>
    </row>
    <row r="7" spans="1:4" x14ac:dyDescent="0.2">
      <c r="A7" s="6">
        <v>45306</v>
      </c>
      <c r="B7" s="5" t="str">
        <f t="shared" si="0"/>
        <v>Mon</v>
      </c>
      <c r="C7" s="5" t="s">
        <v>21</v>
      </c>
      <c r="D7" s="5" t="s">
        <v>25</v>
      </c>
    </row>
    <row r="8" spans="1:4" x14ac:dyDescent="0.2">
      <c r="A8" s="6">
        <v>45333</v>
      </c>
      <c r="B8" s="5" t="str">
        <f t="shared" si="0"/>
        <v>Sun</v>
      </c>
      <c r="C8" s="5" t="s">
        <v>28</v>
      </c>
      <c r="D8" s="5" t="s">
        <v>16</v>
      </c>
    </row>
    <row r="9" spans="1:4" x14ac:dyDescent="0.2">
      <c r="A9" s="6">
        <v>45334</v>
      </c>
      <c r="B9" s="5" t="str">
        <f t="shared" si="0"/>
        <v>Mon</v>
      </c>
      <c r="C9" s="5" t="s">
        <v>29</v>
      </c>
      <c r="D9" s="5" t="s">
        <v>16</v>
      </c>
    </row>
    <row r="10" spans="1:4" x14ac:dyDescent="0.2">
      <c r="A10" s="6">
        <v>45341</v>
      </c>
      <c r="B10" s="5" t="str">
        <f t="shared" si="0"/>
        <v>Mon</v>
      </c>
      <c r="C10" s="5" t="s">
        <v>10</v>
      </c>
      <c r="D10" s="5" t="s">
        <v>25</v>
      </c>
    </row>
    <row r="11" spans="1:4" x14ac:dyDescent="0.2">
      <c r="A11" s="6">
        <v>45345</v>
      </c>
      <c r="B11" s="5" t="str">
        <f t="shared" si="0"/>
        <v>Fri</v>
      </c>
      <c r="C11" s="5" t="s">
        <v>30</v>
      </c>
      <c r="D11" s="5" t="s">
        <v>16</v>
      </c>
    </row>
    <row r="12" spans="1:4" x14ac:dyDescent="0.2">
      <c r="A12" s="6">
        <v>45371</v>
      </c>
      <c r="B12" s="5" t="str">
        <f t="shared" si="0"/>
        <v>Wed</v>
      </c>
      <c r="C12" s="5" t="s">
        <v>31</v>
      </c>
      <c r="D12" s="5" t="s">
        <v>16</v>
      </c>
    </row>
    <row r="13" spans="1:4" x14ac:dyDescent="0.2">
      <c r="A13" s="6">
        <v>45411</v>
      </c>
      <c r="B13" s="5" t="str">
        <f t="shared" si="0"/>
        <v>Mon</v>
      </c>
      <c r="C13" s="5" t="s">
        <v>32</v>
      </c>
      <c r="D13" s="5" t="s">
        <v>16</v>
      </c>
    </row>
    <row r="14" spans="1:4" x14ac:dyDescent="0.2">
      <c r="A14" s="6">
        <v>45415</v>
      </c>
      <c r="B14" s="5" t="str">
        <f t="shared" si="0"/>
        <v>Fri</v>
      </c>
      <c r="C14" s="5" t="s">
        <v>33</v>
      </c>
      <c r="D14" s="5" t="s">
        <v>16</v>
      </c>
    </row>
    <row r="15" spans="1:4" x14ac:dyDescent="0.2">
      <c r="A15" s="6">
        <v>45416</v>
      </c>
      <c r="B15" s="5" t="str">
        <f t="shared" si="0"/>
        <v>Sat</v>
      </c>
      <c r="C15" s="5" t="s">
        <v>34</v>
      </c>
      <c r="D15" s="5" t="s">
        <v>16</v>
      </c>
    </row>
    <row r="16" spans="1:4" x14ac:dyDescent="0.2">
      <c r="A16" s="6">
        <v>45417</v>
      </c>
      <c r="B16" s="5" t="str">
        <f t="shared" si="0"/>
        <v>Sun</v>
      </c>
      <c r="C16" s="5" t="s">
        <v>35</v>
      </c>
      <c r="D16" s="5" t="s">
        <v>16</v>
      </c>
    </row>
    <row r="17" spans="1:4" x14ac:dyDescent="0.2">
      <c r="A17" s="6">
        <v>45418</v>
      </c>
      <c r="B17" s="5" t="str">
        <f t="shared" si="0"/>
        <v>Mon</v>
      </c>
      <c r="C17" s="5" t="s">
        <v>36</v>
      </c>
      <c r="D17" s="5" t="s">
        <v>16</v>
      </c>
    </row>
    <row r="18" spans="1:4" x14ac:dyDescent="0.2">
      <c r="A18" s="6">
        <v>45439</v>
      </c>
      <c r="B18" s="5" t="str">
        <f t="shared" si="0"/>
        <v>Mon</v>
      </c>
      <c r="C18" s="5" t="s">
        <v>11</v>
      </c>
      <c r="D18" s="5" t="s">
        <v>25</v>
      </c>
    </row>
    <row r="19" spans="1:4" x14ac:dyDescent="0.2">
      <c r="A19" s="6">
        <v>45462</v>
      </c>
      <c r="B19" s="5" t="str">
        <f t="shared" si="0"/>
        <v>Wed</v>
      </c>
      <c r="C19" s="5" t="s">
        <v>12</v>
      </c>
      <c r="D19" s="5" t="s">
        <v>25</v>
      </c>
    </row>
    <row r="20" spans="1:4" x14ac:dyDescent="0.2">
      <c r="A20" s="6">
        <v>45477</v>
      </c>
      <c r="B20" s="5" t="str">
        <f t="shared" si="0"/>
        <v>Thu</v>
      </c>
      <c r="C20" s="5" t="s">
        <v>13</v>
      </c>
      <c r="D20" s="5" t="s">
        <v>25</v>
      </c>
    </row>
    <row r="21" spans="1:4" x14ac:dyDescent="0.2">
      <c r="A21" s="6">
        <v>45488</v>
      </c>
      <c r="B21" s="5" t="str">
        <f t="shared" si="0"/>
        <v>Mon</v>
      </c>
      <c r="C21" s="5" t="s">
        <v>37</v>
      </c>
      <c r="D21" s="5" t="s">
        <v>16</v>
      </c>
    </row>
    <row r="22" spans="1:4" x14ac:dyDescent="0.2">
      <c r="A22" s="6">
        <v>45515</v>
      </c>
      <c r="B22" s="5" t="str">
        <f t="shared" si="0"/>
        <v>Sun</v>
      </c>
      <c r="C22" s="5" t="s">
        <v>38</v>
      </c>
      <c r="D22" s="5" t="s">
        <v>16</v>
      </c>
    </row>
    <row r="23" spans="1:4" x14ac:dyDescent="0.2">
      <c r="A23" s="6">
        <v>45516</v>
      </c>
      <c r="B23" s="5" t="str">
        <f t="shared" si="0"/>
        <v>Mon</v>
      </c>
      <c r="C23" s="5" t="s">
        <v>39</v>
      </c>
      <c r="D23" s="5" t="s">
        <v>16</v>
      </c>
    </row>
    <row r="24" spans="1:4" x14ac:dyDescent="0.2">
      <c r="A24" s="6">
        <v>45537</v>
      </c>
      <c r="B24" s="5" t="str">
        <f t="shared" si="0"/>
        <v>Mon</v>
      </c>
      <c r="C24" s="5" t="s">
        <v>14</v>
      </c>
      <c r="D24" s="5" t="s">
        <v>25</v>
      </c>
    </row>
    <row r="25" spans="1:4" x14ac:dyDescent="0.2">
      <c r="A25" s="6">
        <v>45551</v>
      </c>
      <c r="B25" s="5" t="str">
        <f t="shared" si="0"/>
        <v>Mon</v>
      </c>
      <c r="C25" s="5" t="s">
        <v>40</v>
      </c>
      <c r="D25" s="5" t="s">
        <v>16</v>
      </c>
    </row>
    <row r="26" spans="1:4" x14ac:dyDescent="0.2">
      <c r="A26" s="6">
        <v>45557</v>
      </c>
      <c r="B26" s="5" t="str">
        <f t="shared" si="0"/>
        <v>Sun</v>
      </c>
      <c r="C26" s="5" t="s">
        <v>41</v>
      </c>
      <c r="D26" s="5" t="s">
        <v>16</v>
      </c>
    </row>
    <row r="27" spans="1:4" x14ac:dyDescent="0.2">
      <c r="A27" s="6">
        <v>45558</v>
      </c>
      <c r="B27" s="5" t="str">
        <f t="shared" si="0"/>
        <v>Mon</v>
      </c>
      <c r="C27" s="5" t="s">
        <v>42</v>
      </c>
      <c r="D27" s="5" t="s">
        <v>16</v>
      </c>
    </row>
    <row r="28" spans="1:4" x14ac:dyDescent="0.2">
      <c r="A28" s="6">
        <v>45579</v>
      </c>
      <c r="B28" s="5" t="str">
        <f t="shared" si="0"/>
        <v>Mon</v>
      </c>
      <c r="C28" s="5" t="s">
        <v>15</v>
      </c>
      <c r="D28" s="5" t="s">
        <v>25</v>
      </c>
    </row>
    <row r="29" spans="1:4" x14ac:dyDescent="0.2">
      <c r="A29" s="6">
        <v>45579</v>
      </c>
      <c r="B29" s="5" t="str">
        <f t="shared" si="0"/>
        <v>Mon</v>
      </c>
      <c r="C29" s="5" t="s">
        <v>43</v>
      </c>
      <c r="D29" s="5" t="s">
        <v>16</v>
      </c>
    </row>
    <row r="30" spans="1:4" x14ac:dyDescent="0.2">
      <c r="A30" s="6">
        <v>45599</v>
      </c>
      <c r="B30" s="5" t="str">
        <f t="shared" si="0"/>
        <v>Sun</v>
      </c>
      <c r="C30" s="5" t="s">
        <v>44</v>
      </c>
      <c r="D30" s="5" t="s">
        <v>16</v>
      </c>
    </row>
    <row r="31" spans="1:4" x14ac:dyDescent="0.2">
      <c r="A31" s="6">
        <v>45600</v>
      </c>
      <c r="B31" s="5" t="str">
        <f t="shared" si="0"/>
        <v>Mon</v>
      </c>
      <c r="C31" s="5" t="s">
        <v>45</v>
      </c>
      <c r="D31" s="5" t="s">
        <v>16</v>
      </c>
    </row>
    <row r="32" spans="1:4" x14ac:dyDescent="0.2">
      <c r="A32" s="6">
        <v>45607</v>
      </c>
      <c r="B32" s="5" t="str">
        <f t="shared" si="0"/>
        <v>Mon</v>
      </c>
      <c r="C32" s="5" t="s">
        <v>22</v>
      </c>
      <c r="D32" s="5" t="s">
        <v>25</v>
      </c>
    </row>
    <row r="33" spans="1:4" x14ac:dyDescent="0.2">
      <c r="A33" s="6">
        <v>45619</v>
      </c>
      <c r="B33" s="5" t="str">
        <f t="shared" si="0"/>
        <v>Sat</v>
      </c>
      <c r="C33" s="5" t="s">
        <v>46</v>
      </c>
      <c r="D33" s="5" t="s">
        <v>16</v>
      </c>
    </row>
    <row r="34" spans="1:4" x14ac:dyDescent="0.2">
      <c r="A34" s="6">
        <v>45624</v>
      </c>
      <c r="B34" s="5" t="str">
        <f t="shared" si="0"/>
        <v>Thu</v>
      </c>
      <c r="C34" s="5" t="s">
        <v>23</v>
      </c>
      <c r="D34" s="5" t="s">
        <v>25</v>
      </c>
    </row>
    <row r="35" spans="1:4" x14ac:dyDescent="0.2">
      <c r="A35" s="6">
        <v>45651</v>
      </c>
      <c r="B35" s="5" t="str">
        <f t="shared" si="0"/>
        <v>Wed</v>
      </c>
      <c r="C35" s="5" t="s">
        <v>24</v>
      </c>
      <c r="D35" s="5" t="s">
        <v>25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EA8E7-C63D-48BB-8328-D39A2762353B}">
  <sheetPr codeName="CalendarSheet"/>
  <dimension ref="A3:H110"/>
  <sheetViews>
    <sheetView showGridLines="0" tabSelected="1" zoomScaleNormal="10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19" sqref="B19"/>
    </sheetView>
  </sheetViews>
  <sheetFormatPr defaultColWidth="9.21875" defaultRowHeight="11.4" outlineLevelCol="1" x14ac:dyDescent="0.2"/>
  <cols>
    <col min="1" max="1" width="8.77734375" style="43" customWidth="1"/>
    <col min="2" max="2" width="25.77734375" style="42" customWidth="1" outlineLevel="1"/>
    <col min="3" max="7" width="25.77734375" style="42" customWidth="1"/>
    <col min="8" max="8" width="25.77734375" style="42" customWidth="1" outlineLevel="1"/>
    <col min="9" max="16384" width="9.21875" style="42"/>
  </cols>
  <sheetData>
    <row r="3" spans="1:8" ht="19.95" customHeight="1" thickBot="1" x14ac:dyDescent="0.35">
      <c r="A3" s="43" t="s">
        <v>6</v>
      </c>
      <c r="B3" s="2" t="s">
        <v>17</v>
      </c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</row>
    <row r="4" spans="1:8" ht="19.95" customHeight="1" thickTop="1" x14ac:dyDescent="0.3">
      <c r="A4" s="43">
        <f>WEEKNUM(B4)</f>
        <v>53</v>
      </c>
      <c r="B4" s="8">
        <v>45291</v>
      </c>
      <c r="C4" s="20">
        <f>B4+1</f>
        <v>45292</v>
      </c>
      <c r="D4" s="45">
        <f>C4+1</f>
        <v>45293</v>
      </c>
      <c r="E4" s="45">
        <f>D4+1</f>
        <v>45294</v>
      </c>
      <c r="F4" s="45">
        <f>E4+1</f>
        <v>45295</v>
      </c>
      <c r="G4" s="45">
        <f>F4+1</f>
        <v>45296</v>
      </c>
      <c r="H4" s="13">
        <f>G4+1</f>
        <v>45297</v>
      </c>
    </row>
    <row r="5" spans="1:8" ht="90" customHeight="1" x14ac:dyDescent="0.2">
      <c r="A5" s="25">
        <f>YEAR(B4)</f>
        <v>2023</v>
      </c>
      <c r="B5" s="33"/>
      <c r="C5" s="26" t="s">
        <v>66</v>
      </c>
      <c r="D5" s="34"/>
      <c r="E5" s="34"/>
      <c r="F5" s="34"/>
      <c r="G5" s="34"/>
      <c r="H5" s="35"/>
    </row>
    <row r="6" spans="1:8" ht="19.95" customHeight="1" x14ac:dyDescent="0.25">
      <c r="A6" s="43">
        <f>WEEKNUM(B6)</f>
        <v>2</v>
      </c>
      <c r="B6" s="9">
        <f>H4+1</f>
        <v>45298</v>
      </c>
      <c r="C6" s="29">
        <f>B6+1</f>
        <v>45299</v>
      </c>
      <c r="D6" s="44">
        <f>C6+1</f>
        <v>45300</v>
      </c>
      <c r="E6" s="44">
        <f>D6+1</f>
        <v>45301</v>
      </c>
      <c r="F6" s="44">
        <f>E6+1</f>
        <v>45302</v>
      </c>
      <c r="G6" s="44">
        <f>F6+1</f>
        <v>45303</v>
      </c>
      <c r="H6" s="14">
        <f>G6+1</f>
        <v>45304</v>
      </c>
    </row>
    <row r="7" spans="1:8" ht="90" customHeight="1" x14ac:dyDescent="0.2">
      <c r="A7" s="25">
        <f>YEAR(B6)</f>
        <v>2024</v>
      </c>
      <c r="B7" s="36"/>
      <c r="C7" s="28" t="s">
        <v>27</v>
      </c>
      <c r="D7" s="34"/>
      <c r="E7" s="34"/>
      <c r="F7" s="34"/>
      <c r="G7" s="34"/>
      <c r="H7" s="35"/>
    </row>
    <row r="8" spans="1:8" ht="19.95" customHeight="1" x14ac:dyDescent="0.25">
      <c r="A8" s="43">
        <f>WEEKNUM(B8)</f>
        <v>3</v>
      </c>
      <c r="B8" s="9">
        <f>H6+1</f>
        <v>45305</v>
      </c>
      <c r="C8" s="22">
        <f>B8+1</f>
        <v>45306</v>
      </c>
      <c r="D8" s="44">
        <f>C8+1</f>
        <v>45307</v>
      </c>
      <c r="E8" s="44">
        <f>D8+1</f>
        <v>45308</v>
      </c>
      <c r="F8" s="44">
        <f>E8+1</f>
        <v>45309</v>
      </c>
      <c r="G8" s="44">
        <f>F8+1</f>
        <v>45310</v>
      </c>
      <c r="H8" s="14">
        <f>G8+1</f>
        <v>45311</v>
      </c>
    </row>
    <row r="9" spans="1:8" ht="90" customHeight="1" x14ac:dyDescent="0.2">
      <c r="A9" s="25">
        <f>YEAR(B8)</f>
        <v>2024</v>
      </c>
      <c r="B9" s="36"/>
      <c r="C9" s="21" t="s">
        <v>21</v>
      </c>
      <c r="D9" s="34"/>
      <c r="E9" s="34"/>
      <c r="F9" s="34"/>
      <c r="G9" s="34"/>
      <c r="H9" s="35"/>
    </row>
    <row r="10" spans="1:8" ht="19.95" customHeight="1" x14ac:dyDescent="0.25">
      <c r="A10" s="43">
        <f>WEEKNUM(B10)</f>
        <v>4</v>
      </c>
      <c r="B10" s="9">
        <f>H8+1</f>
        <v>45312</v>
      </c>
      <c r="C10" s="44">
        <f>B10+1</f>
        <v>45313</v>
      </c>
      <c r="D10" s="44">
        <f>C10+1</f>
        <v>45314</v>
      </c>
      <c r="E10" s="44">
        <f>D10+1</f>
        <v>45315</v>
      </c>
      <c r="F10" s="44">
        <f>E10+1</f>
        <v>45316</v>
      </c>
      <c r="G10" s="44">
        <f>F10+1</f>
        <v>45317</v>
      </c>
      <c r="H10" s="14">
        <f>G10+1</f>
        <v>45318</v>
      </c>
    </row>
    <row r="11" spans="1:8" ht="90" customHeight="1" x14ac:dyDescent="0.2">
      <c r="A11" s="25">
        <f>YEAR(B10)</f>
        <v>2024</v>
      </c>
      <c r="B11" s="36"/>
      <c r="C11" s="34"/>
      <c r="D11" s="34"/>
      <c r="E11" s="34"/>
      <c r="F11" s="34"/>
      <c r="G11" s="34"/>
      <c r="H11" s="35"/>
    </row>
    <row r="12" spans="1:8" ht="19.95" customHeight="1" x14ac:dyDescent="0.3">
      <c r="A12" s="43">
        <f>WEEKNUM(B12)</f>
        <v>5</v>
      </c>
      <c r="B12" s="9">
        <f>H10+1</f>
        <v>45319</v>
      </c>
      <c r="C12" s="44">
        <f>B12+1</f>
        <v>45320</v>
      </c>
      <c r="D12" s="44">
        <f>C12+1</f>
        <v>45321</v>
      </c>
      <c r="E12" s="44">
        <f>D12+1</f>
        <v>45322</v>
      </c>
      <c r="F12" s="7">
        <f>E12+1</f>
        <v>45323</v>
      </c>
      <c r="G12" s="3">
        <f>F12+1</f>
        <v>45324</v>
      </c>
      <c r="H12" s="15">
        <f>G12+1</f>
        <v>45325</v>
      </c>
    </row>
    <row r="13" spans="1:8" ht="90" customHeight="1" x14ac:dyDescent="0.2">
      <c r="A13" s="25">
        <f>YEAR(B12)</f>
        <v>2024</v>
      </c>
      <c r="B13" s="36"/>
      <c r="C13" s="34"/>
      <c r="D13" s="34"/>
      <c r="E13" s="34"/>
      <c r="F13" s="32"/>
      <c r="G13" s="32"/>
      <c r="H13" s="37"/>
    </row>
    <row r="14" spans="1:8" ht="19.95" customHeight="1" x14ac:dyDescent="0.25">
      <c r="A14" s="43">
        <f>WEEKNUM(B14)</f>
        <v>6</v>
      </c>
      <c r="B14" s="10">
        <f>H12+1</f>
        <v>45326</v>
      </c>
      <c r="C14" s="3">
        <f>B14+1</f>
        <v>45327</v>
      </c>
      <c r="D14" s="3">
        <f>C14+1</f>
        <v>45328</v>
      </c>
      <c r="E14" s="3">
        <f>D14+1</f>
        <v>45329</v>
      </c>
      <c r="F14" s="3">
        <f>E14+1</f>
        <v>45330</v>
      </c>
      <c r="G14" s="3">
        <f>F14+1</f>
        <v>45331</v>
      </c>
      <c r="H14" s="15">
        <f>G14+1</f>
        <v>45332</v>
      </c>
    </row>
    <row r="15" spans="1:8" ht="90" customHeight="1" x14ac:dyDescent="0.2">
      <c r="A15" s="25">
        <f>YEAR(B14)</f>
        <v>2024</v>
      </c>
      <c r="B15" s="33"/>
      <c r="C15" s="32"/>
      <c r="D15" s="32"/>
      <c r="E15" s="32"/>
      <c r="F15" s="32"/>
      <c r="G15" s="32"/>
      <c r="H15" s="37"/>
    </row>
    <row r="16" spans="1:8" ht="19.95" customHeight="1" x14ac:dyDescent="0.25">
      <c r="A16" s="43">
        <f>WEEKNUM(B16)</f>
        <v>7</v>
      </c>
      <c r="B16" s="10">
        <f>H14+1</f>
        <v>45333</v>
      </c>
      <c r="C16" s="30">
        <f>B16+1</f>
        <v>45334</v>
      </c>
      <c r="D16" s="3">
        <f>C16+1</f>
        <v>45335</v>
      </c>
      <c r="E16" s="3">
        <f>D16+1</f>
        <v>45336</v>
      </c>
      <c r="F16" s="3">
        <f>E16+1</f>
        <v>45337</v>
      </c>
      <c r="G16" s="3">
        <f>F16+1</f>
        <v>45338</v>
      </c>
      <c r="H16" s="15">
        <f>G16+1</f>
        <v>45339</v>
      </c>
    </row>
    <row r="17" spans="1:8" ht="90" customHeight="1" x14ac:dyDescent="0.2">
      <c r="A17" s="25">
        <f>YEAR(B16)</f>
        <v>2024</v>
      </c>
      <c r="B17" s="17" t="s">
        <v>48</v>
      </c>
      <c r="C17" s="31" t="s">
        <v>49</v>
      </c>
      <c r="D17" s="32"/>
      <c r="E17" s="32"/>
      <c r="F17" s="32"/>
      <c r="G17" s="32"/>
      <c r="H17" s="37"/>
    </row>
    <row r="18" spans="1:8" ht="19.95" customHeight="1" x14ac:dyDescent="0.25">
      <c r="A18" s="43">
        <f>WEEKNUM(B18)</f>
        <v>8</v>
      </c>
      <c r="B18" s="10">
        <f>H16+1</f>
        <v>45340</v>
      </c>
      <c r="C18" s="23">
        <f>B18+1</f>
        <v>45341</v>
      </c>
      <c r="D18" s="3">
        <f>C18+1</f>
        <v>45342</v>
      </c>
      <c r="E18" s="3">
        <f>D18+1</f>
        <v>45343</v>
      </c>
      <c r="F18" s="3">
        <f>E18+1</f>
        <v>45344</v>
      </c>
      <c r="G18" s="30">
        <f>F18+1</f>
        <v>45345</v>
      </c>
      <c r="H18" s="15">
        <f>G18+1</f>
        <v>45346</v>
      </c>
    </row>
    <row r="19" spans="1:8" ht="90" customHeight="1" x14ac:dyDescent="0.2">
      <c r="A19" s="25">
        <f>YEAR(B18)</f>
        <v>2024</v>
      </c>
      <c r="B19" s="33"/>
      <c r="C19" s="24" t="s">
        <v>10</v>
      </c>
      <c r="D19" s="32"/>
      <c r="E19" s="32"/>
      <c r="F19" s="32"/>
      <c r="G19" s="31" t="s">
        <v>65</v>
      </c>
      <c r="H19" s="37"/>
    </row>
    <row r="20" spans="1:8" ht="19.95" customHeight="1" x14ac:dyDescent="0.3">
      <c r="A20" s="43">
        <f>WEEKNUM(B20)</f>
        <v>9</v>
      </c>
      <c r="B20" s="10">
        <f>H18+1</f>
        <v>45347</v>
      </c>
      <c r="C20" s="3">
        <f>B20+1</f>
        <v>45348</v>
      </c>
      <c r="D20" s="3">
        <f>C20+1</f>
        <v>45349</v>
      </c>
      <c r="E20" s="3">
        <f>D20+1</f>
        <v>45350</v>
      </c>
      <c r="F20" s="3">
        <f>E20+1</f>
        <v>45351</v>
      </c>
      <c r="G20" s="46">
        <f>F20+1</f>
        <v>45352</v>
      </c>
      <c r="H20" s="14">
        <f>G20+1</f>
        <v>45353</v>
      </c>
    </row>
    <row r="21" spans="1:8" ht="90" customHeight="1" x14ac:dyDescent="0.2">
      <c r="A21" s="25">
        <f>YEAR(B20)</f>
        <v>2024</v>
      </c>
      <c r="B21" s="33"/>
      <c r="C21" s="32"/>
      <c r="D21" s="32"/>
      <c r="E21" s="32"/>
      <c r="F21" s="32"/>
      <c r="G21" s="34"/>
      <c r="H21" s="35"/>
    </row>
    <row r="22" spans="1:8" ht="19.95" customHeight="1" x14ac:dyDescent="0.25">
      <c r="A22" s="43">
        <f>WEEKNUM(B22)</f>
        <v>10</v>
      </c>
      <c r="B22" s="9">
        <f>H20+1</f>
        <v>45354</v>
      </c>
      <c r="C22" s="44">
        <f>B22+1</f>
        <v>45355</v>
      </c>
      <c r="D22" s="44">
        <f>C22+1</f>
        <v>45356</v>
      </c>
      <c r="E22" s="44">
        <f>D22+1</f>
        <v>45357</v>
      </c>
      <c r="F22" s="44">
        <f>E22+1</f>
        <v>45358</v>
      </c>
      <c r="G22" s="44">
        <f>F22+1</f>
        <v>45359</v>
      </c>
      <c r="H22" s="14">
        <f>G22+1</f>
        <v>45360</v>
      </c>
    </row>
    <row r="23" spans="1:8" ht="90" customHeight="1" x14ac:dyDescent="0.2">
      <c r="A23" s="25">
        <f>YEAR(B22)</f>
        <v>2024</v>
      </c>
      <c r="B23" s="36"/>
      <c r="C23" s="34"/>
      <c r="D23" s="34"/>
      <c r="E23" s="34"/>
      <c r="F23" s="34"/>
      <c r="G23" s="34"/>
      <c r="H23" s="35"/>
    </row>
    <row r="24" spans="1:8" ht="19.95" customHeight="1" x14ac:dyDescent="0.25">
      <c r="A24" s="43">
        <f>WEEKNUM(B24)</f>
        <v>11</v>
      </c>
      <c r="B24" s="9">
        <f>H22+1</f>
        <v>45361</v>
      </c>
      <c r="C24" s="44">
        <f>B24+1</f>
        <v>45362</v>
      </c>
      <c r="D24" s="44">
        <f>C24+1</f>
        <v>45363</v>
      </c>
      <c r="E24" s="44">
        <f>D24+1</f>
        <v>45364</v>
      </c>
      <c r="F24" s="44">
        <f>E24+1</f>
        <v>45365</v>
      </c>
      <c r="G24" s="44">
        <f>F24+1</f>
        <v>45366</v>
      </c>
      <c r="H24" s="14">
        <f>G24+1</f>
        <v>45367</v>
      </c>
    </row>
    <row r="25" spans="1:8" ht="90" customHeight="1" x14ac:dyDescent="0.2">
      <c r="A25" s="25">
        <f>YEAR(B24)</f>
        <v>2024</v>
      </c>
      <c r="B25" s="36"/>
      <c r="C25" s="34"/>
      <c r="D25" s="34"/>
      <c r="E25" s="34"/>
      <c r="F25" s="34"/>
      <c r="G25" s="34"/>
      <c r="H25" s="35"/>
    </row>
    <row r="26" spans="1:8" ht="19.95" customHeight="1" x14ac:dyDescent="0.25">
      <c r="A26" s="43">
        <f>WEEKNUM(B26)</f>
        <v>12</v>
      </c>
      <c r="B26" s="9">
        <f>H24+1</f>
        <v>45368</v>
      </c>
      <c r="C26" s="44">
        <f>B26+1</f>
        <v>45369</v>
      </c>
      <c r="D26" s="44">
        <f>C26+1</f>
        <v>45370</v>
      </c>
      <c r="E26" s="29">
        <f>D26+1</f>
        <v>45371</v>
      </c>
      <c r="F26" s="44">
        <f>E26+1</f>
        <v>45372</v>
      </c>
      <c r="G26" s="44">
        <f>F26+1</f>
        <v>45373</v>
      </c>
      <c r="H26" s="14">
        <f>G26+1</f>
        <v>45374</v>
      </c>
    </row>
    <row r="27" spans="1:8" ht="90" customHeight="1" x14ac:dyDescent="0.2">
      <c r="A27" s="25">
        <f>YEAR(B26)</f>
        <v>2024</v>
      </c>
      <c r="B27" s="36"/>
      <c r="C27" s="34"/>
      <c r="D27" s="34"/>
      <c r="E27" s="28" t="s">
        <v>50</v>
      </c>
      <c r="F27" s="34"/>
      <c r="G27" s="34"/>
      <c r="H27" s="35"/>
    </row>
    <row r="28" spans="1:8" ht="19.95" customHeight="1" x14ac:dyDescent="0.25">
      <c r="A28" s="43">
        <f>WEEKNUM(B28)</f>
        <v>13</v>
      </c>
      <c r="B28" s="9">
        <f>H26+1</f>
        <v>45375</v>
      </c>
      <c r="C28" s="44">
        <f>B28+1</f>
        <v>45376</v>
      </c>
      <c r="D28" s="44">
        <f>C28+1</f>
        <v>45377</v>
      </c>
      <c r="E28" s="44">
        <f>D28+1</f>
        <v>45378</v>
      </c>
      <c r="F28" s="44">
        <f>E28+1</f>
        <v>45379</v>
      </c>
      <c r="G28" s="44">
        <f>F28+1</f>
        <v>45380</v>
      </c>
      <c r="H28" s="14">
        <f>G28+1</f>
        <v>45381</v>
      </c>
    </row>
    <row r="29" spans="1:8" ht="90" customHeight="1" x14ac:dyDescent="0.2">
      <c r="A29" s="25">
        <f>YEAR(B28)</f>
        <v>2024</v>
      </c>
      <c r="B29" s="36"/>
      <c r="C29" s="34"/>
      <c r="D29" s="34"/>
      <c r="E29" s="34"/>
      <c r="F29" s="34"/>
      <c r="G29" s="34"/>
      <c r="H29" s="35"/>
    </row>
    <row r="30" spans="1:8" ht="19.95" customHeight="1" x14ac:dyDescent="0.3">
      <c r="A30" s="43">
        <f>WEEKNUM(B30)</f>
        <v>14</v>
      </c>
      <c r="B30" s="9">
        <f>H28+1</f>
        <v>45382</v>
      </c>
      <c r="C30" s="7">
        <f>B30+1</f>
        <v>45383</v>
      </c>
      <c r="D30" s="3">
        <f>C30+1</f>
        <v>45384</v>
      </c>
      <c r="E30" s="3">
        <f>D30+1</f>
        <v>45385</v>
      </c>
      <c r="F30" s="3">
        <f>E30+1</f>
        <v>45386</v>
      </c>
      <c r="G30" s="3">
        <f>F30+1</f>
        <v>45387</v>
      </c>
      <c r="H30" s="15">
        <f>G30+1</f>
        <v>45388</v>
      </c>
    </row>
    <row r="31" spans="1:8" ht="90" customHeight="1" x14ac:dyDescent="0.2">
      <c r="A31" s="25">
        <f>YEAR(B30)</f>
        <v>2024</v>
      </c>
      <c r="B31" s="36"/>
      <c r="C31" s="32"/>
      <c r="D31" s="32"/>
      <c r="E31" s="32"/>
      <c r="F31" s="32"/>
      <c r="G31" s="32"/>
      <c r="H31" s="37"/>
    </row>
    <row r="32" spans="1:8" ht="19.95" customHeight="1" x14ac:dyDescent="0.25">
      <c r="A32" s="43">
        <f>WEEKNUM(B32)</f>
        <v>15</v>
      </c>
      <c r="B32" s="10">
        <f>H30+1</f>
        <v>45389</v>
      </c>
      <c r="C32" s="3">
        <f>B32+1</f>
        <v>45390</v>
      </c>
      <c r="D32" s="3">
        <f>C32+1</f>
        <v>45391</v>
      </c>
      <c r="E32" s="3">
        <f>D32+1</f>
        <v>45392</v>
      </c>
      <c r="F32" s="3">
        <f>E32+1</f>
        <v>45393</v>
      </c>
      <c r="G32" s="3">
        <f>F32+1</f>
        <v>45394</v>
      </c>
      <c r="H32" s="15">
        <f>G32+1</f>
        <v>45395</v>
      </c>
    </row>
    <row r="33" spans="1:8" ht="90" customHeight="1" x14ac:dyDescent="0.2">
      <c r="A33" s="25">
        <f>YEAR(B32)</f>
        <v>2024</v>
      </c>
      <c r="B33" s="33"/>
      <c r="C33" s="32"/>
      <c r="D33" s="32"/>
      <c r="E33" s="32"/>
      <c r="F33" s="32"/>
      <c r="G33" s="32"/>
      <c r="H33" s="37"/>
    </row>
    <row r="34" spans="1:8" ht="19.95" customHeight="1" x14ac:dyDescent="0.25">
      <c r="A34" s="43">
        <f>WEEKNUM(B34)</f>
        <v>16</v>
      </c>
      <c r="B34" s="10">
        <f>H32+1</f>
        <v>45396</v>
      </c>
      <c r="C34" s="3">
        <f>B34+1</f>
        <v>45397</v>
      </c>
      <c r="D34" s="3">
        <f>C34+1</f>
        <v>45398</v>
      </c>
      <c r="E34" s="3">
        <f>D34+1</f>
        <v>45399</v>
      </c>
      <c r="F34" s="3">
        <f>E34+1</f>
        <v>45400</v>
      </c>
      <c r="G34" s="3">
        <f>F34+1</f>
        <v>45401</v>
      </c>
      <c r="H34" s="15">
        <f>G34+1</f>
        <v>45402</v>
      </c>
    </row>
    <row r="35" spans="1:8" ht="90" customHeight="1" x14ac:dyDescent="0.2">
      <c r="A35" s="25">
        <f>YEAR(B34)</f>
        <v>2024</v>
      </c>
      <c r="B35" s="33"/>
      <c r="C35" s="32"/>
      <c r="D35" s="32"/>
      <c r="E35" s="32"/>
      <c r="F35" s="32"/>
      <c r="G35" s="32"/>
      <c r="H35" s="37"/>
    </row>
    <row r="36" spans="1:8" ht="19.95" customHeight="1" x14ac:dyDescent="0.25">
      <c r="A36" s="43">
        <f>WEEKNUM(B36)</f>
        <v>17</v>
      </c>
      <c r="B36" s="10">
        <f>H34+1</f>
        <v>45403</v>
      </c>
      <c r="C36" s="3">
        <f>B36+1</f>
        <v>45404</v>
      </c>
      <c r="D36" s="3">
        <f>C36+1</f>
        <v>45405</v>
      </c>
      <c r="E36" s="3">
        <f>D36+1</f>
        <v>45406</v>
      </c>
      <c r="F36" s="3">
        <f>E36+1</f>
        <v>45407</v>
      </c>
      <c r="G36" s="3">
        <f>F36+1</f>
        <v>45408</v>
      </c>
      <c r="H36" s="15">
        <f>G36+1</f>
        <v>45409</v>
      </c>
    </row>
    <row r="37" spans="1:8" ht="90" customHeight="1" x14ac:dyDescent="0.2">
      <c r="A37" s="25">
        <f>YEAR(B36)</f>
        <v>2024</v>
      </c>
      <c r="B37" s="33"/>
      <c r="C37" s="32"/>
      <c r="D37" s="32"/>
      <c r="E37" s="32"/>
      <c r="F37" s="32"/>
      <c r="G37" s="32"/>
      <c r="H37" s="37"/>
    </row>
    <row r="38" spans="1:8" ht="19.95" customHeight="1" x14ac:dyDescent="0.3">
      <c r="A38" s="43">
        <f>WEEKNUM(B38)</f>
        <v>18</v>
      </c>
      <c r="B38" s="10">
        <f>H36+1</f>
        <v>45410</v>
      </c>
      <c r="C38" s="30">
        <f>B38+1</f>
        <v>45411</v>
      </c>
      <c r="D38" s="3">
        <f>C38+1</f>
        <v>45412</v>
      </c>
      <c r="E38" s="46">
        <f>D38+1</f>
        <v>45413</v>
      </c>
      <c r="F38" s="44">
        <f>E38+1</f>
        <v>45414</v>
      </c>
      <c r="G38" s="29">
        <f>F38+1</f>
        <v>45415</v>
      </c>
      <c r="H38" s="14">
        <f>G38+1</f>
        <v>45416</v>
      </c>
    </row>
    <row r="39" spans="1:8" ht="90" customHeight="1" x14ac:dyDescent="0.2">
      <c r="A39" s="25">
        <f>YEAR(B38)</f>
        <v>2024</v>
      </c>
      <c r="B39" s="33"/>
      <c r="C39" s="31" t="s">
        <v>51</v>
      </c>
      <c r="D39" s="32"/>
      <c r="E39" s="34"/>
      <c r="F39" s="34"/>
      <c r="G39" s="28" t="s">
        <v>52</v>
      </c>
      <c r="H39" s="19" t="s">
        <v>53</v>
      </c>
    </row>
    <row r="40" spans="1:8" ht="19.95" customHeight="1" x14ac:dyDescent="0.25">
      <c r="A40" s="43">
        <f>WEEKNUM(B40)</f>
        <v>19</v>
      </c>
      <c r="B40" s="9">
        <f>H38+1</f>
        <v>45417</v>
      </c>
      <c r="C40" s="29">
        <f>B40+1</f>
        <v>45418</v>
      </c>
      <c r="D40" s="44">
        <f>C40+1</f>
        <v>45419</v>
      </c>
      <c r="E40" s="44">
        <f>D40+1</f>
        <v>45420</v>
      </c>
      <c r="F40" s="44">
        <f>E40+1</f>
        <v>45421</v>
      </c>
      <c r="G40" s="44">
        <f>F40+1</f>
        <v>45422</v>
      </c>
      <c r="H40" s="14">
        <f>G40+1</f>
        <v>45423</v>
      </c>
    </row>
    <row r="41" spans="1:8" ht="90" customHeight="1" x14ac:dyDescent="0.2">
      <c r="A41" s="25">
        <f>YEAR(B40)</f>
        <v>2024</v>
      </c>
      <c r="B41" s="18" t="s">
        <v>54</v>
      </c>
      <c r="C41" s="28" t="s">
        <v>55</v>
      </c>
      <c r="D41" s="34"/>
      <c r="E41" s="34"/>
      <c r="F41" s="34"/>
      <c r="G41" s="34"/>
      <c r="H41" s="35"/>
    </row>
    <row r="42" spans="1:8" ht="19.95" customHeight="1" x14ac:dyDescent="0.25">
      <c r="A42" s="43">
        <f>WEEKNUM(B42)</f>
        <v>20</v>
      </c>
      <c r="B42" s="9">
        <f>H40+1</f>
        <v>45424</v>
      </c>
      <c r="C42" s="44">
        <f>B42+1</f>
        <v>45425</v>
      </c>
      <c r="D42" s="44">
        <f>C42+1</f>
        <v>45426</v>
      </c>
      <c r="E42" s="44">
        <f>D42+1</f>
        <v>45427</v>
      </c>
      <c r="F42" s="44">
        <f>E42+1</f>
        <v>45428</v>
      </c>
      <c r="G42" s="44">
        <f>F42+1</f>
        <v>45429</v>
      </c>
      <c r="H42" s="14">
        <f>G42+1</f>
        <v>45430</v>
      </c>
    </row>
    <row r="43" spans="1:8" ht="90" customHeight="1" x14ac:dyDescent="0.2">
      <c r="A43" s="25">
        <f>YEAR(B42)</f>
        <v>2024</v>
      </c>
      <c r="B43" s="36"/>
      <c r="C43" s="34"/>
      <c r="D43" s="34"/>
      <c r="E43" s="34"/>
      <c r="F43" s="34"/>
      <c r="G43" s="34"/>
      <c r="H43" s="35"/>
    </row>
    <row r="44" spans="1:8" ht="19.95" customHeight="1" x14ac:dyDescent="0.25">
      <c r="A44" s="43">
        <f>WEEKNUM(B44)</f>
        <v>21</v>
      </c>
      <c r="B44" s="9">
        <f>H42+1</f>
        <v>45431</v>
      </c>
      <c r="C44" s="44">
        <f>B44+1</f>
        <v>45432</v>
      </c>
      <c r="D44" s="44">
        <f>C44+1</f>
        <v>45433</v>
      </c>
      <c r="E44" s="44">
        <f>D44+1</f>
        <v>45434</v>
      </c>
      <c r="F44" s="44">
        <f>E44+1</f>
        <v>45435</v>
      </c>
      <c r="G44" s="44">
        <f>F44+1</f>
        <v>45436</v>
      </c>
      <c r="H44" s="14">
        <f>G44+1</f>
        <v>45437</v>
      </c>
    </row>
    <row r="45" spans="1:8" ht="90" customHeight="1" x14ac:dyDescent="0.2">
      <c r="A45" s="25">
        <f>YEAR(B44)</f>
        <v>2024</v>
      </c>
      <c r="B45" s="36"/>
      <c r="C45" s="34"/>
      <c r="D45" s="34"/>
      <c r="E45" s="34"/>
      <c r="F45" s="34"/>
      <c r="G45" s="34"/>
      <c r="H45" s="35"/>
    </row>
    <row r="46" spans="1:8" ht="19.95" customHeight="1" x14ac:dyDescent="0.3">
      <c r="A46" s="43">
        <f>WEEKNUM(B46)</f>
        <v>22</v>
      </c>
      <c r="B46" s="9">
        <f>H44+1</f>
        <v>45438</v>
      </c>
      <c r="C46" s="22">
        <f>B46+1</f>
        <v>45439</v>
      </c>
      <c r="D46" s="44">
        <f>C46+1</f>
        <v>45440</v>
      </c>
      <c r="E46" s="44">
        <f>D46+1</f>
        <v>45441</v>
      </c>
      <c r="F46" s="44">
        <f>E46+1</f>
        <v>45442</v>
      </c>
      <c r="G46" s="44">
        <f>F46+1</f>
        <v>45443</v>
      </c>
      <c r="H46" s="16">
        <f>G46+1</f>
        <v>45444</v>
      </c>
    </row>
    <row r="47" spans="1:8" ht="90" customHeight="1" x14ac:dyDescent="0.2">
      <c r="A47" s="25">
        <f>YEAR(B46)</f>
        <v>2024</v>
      </c>
      <c r="B47" s="36"/>
      <c r="C47" s="21" t="s">
        <v>11</v>
      </c>
      <c r="D47" s="34"/>
      <c r="E47" s="34"/>
      <c r="F47" s="34"/>
      <c r="G47" s="34"/>
      <c r="H47" s="37"/>
    </row>
    <row r="48" spans="1:8" ht="19.95" customHeight="1" x14ac:dyDescent="0.25">
      <c r="A48" s="43">
        <f>WEEKNUM(B48)</f>
        <v>23</v>
      </c>
      <c r="B48" s="10">
        <f>H46+1</f>
        <v>45445</v>
      </c>
      <c r="C48" s="3">
        <f>B48+1</f>
        <v>45446</v>
      </c>
      <c r="D48" s="3">
        <f>C48+1</f>
        <v>45447</v>
      </c>
      <c r="E48" s="3">
        <f>D48+1</f>
        <v>45448</v>
      </c>
      <c r="F48" s="3">
        <f>E48+1</f>
        <v>45449</v>
      </c>
      <c r="G48" s="3">
        <f>F48+1</f>
        <v>45450</v>
      </c>
      <c r="H48" s="15">
        <f>G48+1</f>
        <v>45451</v>
      </c>
    </row>
    <row r="49" spans="1:8" ht="90" customHeight="1" x14ac:dyDescent="0.2">
      <c r="A49" s="25">
        <f>YEAR(B48)</f>
        <v>2024</v>
      </c>
      <c r="B49" s="33"/>
      <c r="C49" s="32"/>
      <c r="D49" s="32"/>
      <c r="E49" s="32"/>
      <c r="F49" s="32"/>
      <c r="G49" s="32"/>
      <c r="H49" s="37"/>
    </row>
    <row r="50" spans="1:8" ht="19.95" customHeight="1" x14ac:dyDescent="0.25">
      <c r="A50" s="43">
        <f>WEEKNUM(B50)</f>
        <v>24</v>
      </c>
      <c r="B50" s="10">
        <f>H48+1</f>
        <v>45452</v>
      </c>
      <c r="C50" s="3">
        <f>B50+1</f>
        <v>45453</v>
      </c>
      <c r="D50" s="3">
        <f>C50+1</f>
        <v>45454</v>
      </c>
      <c r="E50" s="3">
        <f>D50+1</f>
        <v>45455</v>
      </c>
      <c r="F50" s="3">
        <f>E50+1</f>
        <v>45456</v>
      </c>
      <c r="G50" s="3">
        <f>F50+1</f>
        <v>45457</v>
      </c>
      <c r="H50" s="15">
        <f>G50+1</f>
        <v>45458</v>
      </c>
    </row>
    <row r="51" spans="1:8" ht="90" customHeight="1" x14ac:dyDescent="0.2">
      <c r="A51" s="25">
        <f>YEAR(B50)</f>
        <v>2024</v>
      </c>
      <c r="B51" s="33"/>
      <c r="C51" s="32"/>
      <c r="D51" s="32"/>
      <c r="E51" s="32"/>
      <c r="F51" s="32"/>
      <c r="G51" s="32"/>
      <c r="H51" s="37"/>
    </row>
    <row r="52" spans="1:8" ht="19.95" customHeight="1" x14ac:dyDescent="0.25">
      <c r="A52" s="43">
        <f>WEEKNUM(B52)</f>
        <v>25</v>
      </c>
      <c r="B52" s="10">
        <f>H50+1</f>
        <v>45459</v>
      </c>
      <c r="C52" s="3">
        <f>B52+1</f>
        <v>45460</v>
      </c>
      <c r="D52" s="3">
        <f>C52+1</f>
        <v>45461</v>
      </c>
      <c r="E52" s="23">
        <f>D52+1</f>
        <v>45462</v>
      </c>
      <c r="F52" s="3">
        <f>E52+1</f>
        <v>45463</v>
      </c>
      <c r="G52" s="3">
        <f>F52+1</f>
        <v>45464</v>
      </c>
      <c r="H52" s="15">
        <f>G52+1</f>
        <v>45465</v>
      </c>
    </row>
    <row r="53" spans="1:8" ht="90" customHeight="1" x14ac:dyDescent="0.2">
      <c r="A53" s="25">
        <f>YEAR(B52)</f>
        <v>2024</v>
      </c>
      <c r="B53" s="33"/>
      <c r="C53" s="32"/>
      <c r="D53" s="32"/>
      <c r="E53" s="24" t="s">
        <v>12</v>
      </c>
      <c r="F53" s="32"/>
      <c r="G53" s="32"/>
      <c r="H53" s="37"/>
    </row>
    <row r="54" spans="1:8" ht="19.95" customHeight="1" x14ac:dyDescent="0.25">
      <c r="A54" s="43">
        <f>WEEKNUM(B54)</f>
        <v>26</v>
      </c>
      <c r="B54" s="10">
        <f>H52+1</f>
        <v>45466</v>
      </c>
      <c r="C54" s="3">
        <f>B54+1</f>
        <v>45467</v>
      </c>
      <c r="D54" s="3">
        <f>C54+1</f>
        <v>45468</v>
      </c>
      <c r="E54" s="3">
        <f>D54+1</f>
        <v>45469</v>
      </c>
      <c r="F54" s="3">
        <f>E54+1</f>
        <v>45470</v>
      </c>
      <c r="G54" s="3">
        <f>F54+1</f>
        <v>45471</v>
      </c>
      <c r="H54" s="15">
        <f>G54+1</f>
        <v>45472</v>
      </c>
    </row>
    <row r="55" spans="1:8" ht="90" customHeight="1" x14ac:dyDescent="0.2">
      <c r="A55" s="25">
        <f>YEAR(B54)</f>
        <v>2024</v>
      </c>
      <c r="B55" s="33"/>
      <c r="C55" s="32"/>
      <c r="D55" s="32"/>
      <c r="E55" s="32"/>
      <c r="F55" s="32"/>
      <c r="G55" s="32"/>
      <c r="H55" s="37"/>
    </row>
    <row r="56" spans="1:8" ht="19.95" customHeight="1" x14ac:dyDescent="0.3">
      <c r="A56" s="43">
        <f>WEEKNUM(B56)</f>
        <v>27</v>
      </c>
      <c r="B56" s="10">
        <f>H54+1</f>
        <v>45473</v>
      </c>
      <c r="C56" s="46">
        <f>B56+1</f>
        <v>45474</v>
      </c>
      <c r="D56" s="44">
        <f>C56+1</f>
        <v>45475</v>
      </c>
      <c r="E56" s="44">
        <f>D56+1</f>
        <v>45476</v>
      </c>
      <c r="F56" s="22">
        <f>E56+1</f>
        <v>45477</v>
      </c>
      <c r="G56" s="44">
        <f>F56+1</f>
        <v>45478</v>
      </c>
      <c r="H56" s="14">
        <f>G56+1</f>
        <v>45479</v>
      </c>
    </row>
    <row r="57" spans="1:8" ht="90" customHeight="1" x14ac:dyDescent="0.2">
      <c r="A57" s="25">
        <f>YEAR(B56)</f>
        <v>2024</v>
      </c>
      <c r="B57" s="33"/>
      <c r="C57" s="34"/>
      <c r="D57" s="34"/>
      <c r="E57" s="34"/>
      <c r="F57" s="21" t="s">
        <v>13</v>
      </c>
      <c r="G57" s="34"/>
      <c r="H57" s="35"/>
    </row>
    <row r="58" spans="1:8" ht="19.95" customHeight="1" x14ac:dyDescent="0.25">
      <c r="A58" s="43">
        <f>WEEKNUM(B58)</f>
        <v>28</v>
      </c>
      <c r="B58" s="9">
        <f>H56+1</f>
        <v>45480</v>
      </c>
      <c r="C58" s="44">
        <f>B58+1</f>
        <v>45481</v>
      </c>
      <c r="D58" s="44">
        <f>C58+1</f>
        <v>45482</v>
      </c>
      <c r="E58" s="44">
        <f>D58+1</f>
        <v>45483</v>
      </c>
      <c r="F58" s="44">
        <f>E58+1</f>
        <v>45484</v>
      </c>
      <c r="G58" s="44">
        <f>F58+1</f>
        <v>45485</v>
      </c>
      <c r="H58" s="14">
        <f>G58+1</f>
        <v>45486</v>
      </c>
    </row>
    <row r="59" spans="1:8" ht="90" customHeight="1" x14ac:dyDescent="0.2">
      <c r="A59" s="25">
        <f>YEAR(B58)</f>
        <v>2024</v>
      </c>
      <c r="B59" s="36"/>
      <c r="C59" s="34"/>
      <c r="D59" s="34"/>
      <c r="E59" s="34"/>
      <c r="F59" s="34"/>
      <c r="G59" s="34"/>
      <c r="H59" s="35"/>
    </row>
    <row r="60" spans="1:8" ht="19.95" customHeight="1" x14ac:dyDescent="0.25">
      <c r="A60" s="43">
        <f>WEEKNUM(B60)</f>
        <v>29</v>
      </c>
      <c r="B60" s="9">
        <f>H58+1</f>
        <v>45487</v>
      </c>
      <c r="C60" s="29">
        <f>B60+1</f>
        <v>45488</v>
      </c>
      <c r="D60" s="44">
        <f>C60+1</f>
        <v>45489</v>
      </c>
      <c r="E60" s="44">
        <f>D60+1</f>
        <v>45490</v>
      </c>
      <c r="F60" s="44">
        <f>E60+1</f>
        <v>45491</v>
      </c>
      <c r="G60" s="44">
        <f>F60+1</f>
        <v>45492</v>
      </c>
      <c r="H60" s="14">
        <f>G60+1</f>
        <v>45493</v>
      </c>
    </row>
    <row r="61" spans="1:8" ht="90" customHeight="1" x14ac:dyDescent="0.2">
      <c r="A61" s="25">
        <f>YEAR(B60)</f>
        <v>2024</v>
      </c>
      <c r="B61" s="36"/>
      <c r="C61" s="28" t="s">
        <v>56</v>
      </c>
      <c r="D61" s="34"/>
      <c r="E61" s="34"/>
      <c r="F61" s="34"/>
      <c r="G61" s="34"/>
      <c r="H61" s="35"/>
    </row>
    <row r="62" spans="1:8" ht="19.95" customHeight="1" x14ac:dyDescent="0.25">
      <c r="A62" s="43">
        <f>WEEKNUM(B62)</f>
        <v>30</v>
      </c>
      <c r="B62" s="9">
        <f>H60+1</f>
        <v>45494</v>
      </c>
      <c r="C62" s="44">
        <f>B62+1</f>
        <v>45495</v>
      </c>
      <c r="D62" s="44">
        <f>C62+1</f>
        <v>45496</v>
      </c>
      <c r="E62" s="44">
        <f>D62+1</f>
        <v>45497</v>
      </c>
      <c r="F62" s="44">
        <f>E62+1</f>
        <v>45498</v>
      </c>
      <c r="G62" s="44">
        <f>F62+1</f>
        <v>45499</v>
      </c>
      <c r="H62" s="14">
        <f>G62+1</f>
        <v>45500</v>
      </c>
    </row>
    <row r="63" spans="1:8" ht="90" customHeight="1" x14ac:dyDescent="0.2">
      <c r="A63" s="25">
        <f>YEAR(B62)</f>
        <v>2024</v>
      </c>
      <c r="B63" s="36"/>
      <c r="C63" s="34"/>
      <c r="D63" s="34"/>
      <c r="E63" s="34"/>
      <c r="F63" s="34"/>
      <c r="G63" s="34"/>
      <c r="H63" s="35"/>
    </row>
    <row r="64" spans="1:8" ht="19.95" customHeight="1" x14ac:dyDescent="0.3">
      <c r="A64" s="43">
        <f>WEEKNUM(B64)</f>
        <v>31</v>
      </c>
      <c r="B64" s="9">
        <f>H62+1</f>
        <v>45501</v>
      </c>
      <c r="C64" s="44">
        <f>B64+1</f>
        <v>45502</v>
      </c>
      <c r="D64" s="44">
        <f>C64+1</f>
        <v>45503</v>
      </c>
      <c r="E64" s="44">
        <f>D64+1</f>
        <v>45504</v>
      </c>
      <c r="F64" s="7">
        <f>E64+1</f>
        <v>45505</v>
      </c>
      <c r="G64" s="3">
        <f>F64+1</f>
        <v>45506</v>
      </c>
      <c r="H64" s="15">
        <f>G64+1</f>
        <v>45507</v>
      </c>
    </row>
    <row r="65" spans="1:8" ht="90" customHeight="1" x14ac:dyDescent="0.2">
      <c r="A65" s="25">
        <f>YEAR(B64)</f>
        <v>2024</v>
      </c>
      <c r="B65" s="36"/>
      <c r="C65" s="34"/>
      <c r="D65" s="34"/>
      <c r="E65" s="34"/>
      <c r="F65" s="32"/>
      <c r="G65" s="32"/>
      <c r="H65" s="37"/>
    </row>
    <row r="66" spans="1:8" ht="19.95" customHeight="1" x14ac:dyDescent="0.25">
      <c r="A66" s="43">
        <f>WEEKNUM(B66)</f>
        <v>32</v>
      </c>
      <c r="B66" s="10">
        <f>H64+1</f>
        <v>45508</v>
      </c>
      <c r="C66" s="3">
        <f>B66+1</f>
        <v>45509</v>
      </c>
      <c r="D66" s="3">
        <f>C66+1</f>
        <v>45510</v>
      </c>
      <c r="E66" s="3">
        <f>D66+1</f>
        <v>45511</v>
      </c>
      <c r="F66" s="3">
        <f>E66+1</f>
        <v>45512</v>
      </c>
      <c r="G66" s="3">
        <f>F66+1</f>
        <v>45513</v>
      </c>
      <c r="H66" s="15">
        <f>G66+1</f>
        <v>45514</v>
      </c>
    </row>
    <row r="67" spans="1:8" ht="90" customHeight="1" x14ac:dyDescent="0.2">
      <c r="A67" s="25">
        <f>YEAR(B66)</f>
        <v>2024</v>
      </c>
      <c r="B67" s="33"/>
      <c r="C67" s="32"/>
      <c r="D67" s="32"/>
      <c r="E67" s="32"/>
      <c r="F67" s="32"/>
      <c r="G67" s="32"/>
      <c r="H67" s="37"/>
    </row>
    <row r="68" spans="1:8" ht="19.95" customHeight="1" x14ac:dyDescent="0.25">
      <c r="A68" s="43">
        <f>WEEKNUM(B68)</f>
        <v>33</v>
      </c>
      <c r="B68" s="10">
        <f>H66+1</f>
        <v>45515</v>
      </c>
      <c r="C68" s="30">
        <f>B68+1</f>
        <v>45516</v>
      </c>
      <c r="D68" s="3">
        <f>C68+1</f>
        <v>45517</v>
      </c>
      <c r="E68" s="3">
        <f>D68+1</f>
        <v>45518</v>
      </c>
      <c r="F68" s="3">
        <f>E68+1</f>
        <v>45519</v>
      </c>
      <c r="G68" s="3">
        <f>F68+1</f>
        <v>45520</v>
      </c>
      <c r="H68" s="15">
        <f>G68+1</f>
        <v>45521</v>
      </c>
    </row>
    <row r="69" spans="1:8" ht="90" customHeight="1" x14ac:dyDescent="0.2">
      <c r="A69" s="25">
        <f>YEAR(B68)</f>
        <v>2024</v>
      </c>
      <c r="B69" s="17" t="s">
        <v>57</v>
      </c>
      <c r="C69" s="31" t="s">
        <v>58</v>
      </c>
      <c r="D69" s="32"/>
      <c r="E69" s="32"/>
      <c r="F69" s="32"/>
      <c r="G69" s="32"/>
      <c r="H69" s="37"/>
    </row>
    <row r="70" spans="1:8" ht="19.95" customHeight="1" x14ac:dyDescent="0.25">
      <c r="A70" s="43">
        <f>WEEKNUM(B70)</f>
        <v>34</v>
      </c>
      <c r="B70" s="10">
        <f>H68+1</f>
        <v>45522</v>
      </c>
      <c r="C70" s="3">
        <f>B70+1</f>
        <v>45523</v>
      </c>
      <c r="D70" s="3">
        <f>C70+1</f>
        <v>45524</v>
      </c>
      <c r="E70" s="3">
        <f>D70+1</f>
        <v>45525</v>
      </c>
      <c r="F70" s="3">
        <f>E70+1</f>
        <v>45526</v>
      </c>
      <c r="G70" s="3">
        <f>F70+1</f>
        <v>45527</v>
      </c>
      <c r="H70" s="15">
        <f>G70+1</f>
        <v>45528</v>
      </c>
    </row>
    <row r="71" spans="1:8" ht="90" customHeight="1" x14ac:dyDescent="0.2">
      <c r="A71" s="25">
        <f>YEAR(B70)</f>
        <v>2024</v>
      </c>
      <c r="B71" s="33"/>
      <c r="C71" s="32"/>
      <c r="D71" s="32"/>
      <c r="E71" s="32"/>
      <c r="F71" s="32"/>
      <c r="G71" s="32"/>
      <c r="H71" s="37"/>
    </row>
    <row r="72" spans="1:8" ht="19.95" customHeight="1" x14ac:dyDescent="0.25">
      <c r="A72" s="43">
        <f>WEEKNUM(B72)</f>
        <v>35</v>
      </c>
      <c r="B72" s="10">
        <f>H70+1</f>
        <v>45529</v>
      </c>
      <c r="C72" s="3">
        <f>B72+1</f>
        <v>45530</v>
      </c>
      <c r="D72" s="3">
        <f>C72+1</f>
        <v>45531</v>
      </c>
      <c r="E72" s="3">
        <f>D72+1</f>
        <v>45532</v>
      </c>
      <c r="F72" s="3">
        <f>E72+1</f>
        <v>45533</v>
      </c>
      <c r="G72" s="3">
        <f>F72+1</f>
        <v>45534</v>
      </c>
      <c r="H72" s="15">
        <f>G72+1</f>
        <v>45535</v>
      </c>
    </row>
    <row r="73" spans="1:8" ht="90" customHeight="1" x14ac:dyDescent="0.2">
      <c r="A73" s="25">
        <f>YEAR(B72)</f>
        <v>2024</v>
      </c>
      <c r="B73" s="33"/>
      <c r="C73" s="32"/>
      <c r="D73" s="32"/>
      <c r="E73" s="32"/>
      <c r="F73" s="32"/>
      <c r="G73" s="32"/>
      <c r="H73" s="37"/>
    </row>
    <row r="74" spans="1:8" ht="19.95" customHeight="1" x14ac:dyDescent="0.3">
      <c r="A74" s="43">
        <f>WEEKNUM(B74)</f>
        <v>36</v>
      </c>
      <c r="B74" s="11">
        <f>H72+1</f>
        <v>45536</v>
      </c>
      <c r="C74" s="22">
        <f>B74+1</f>
        <v>45537</v>
      </c>
      <c r="D74" s="44">
        <f>C74+1</f>
        <v>45538</v>
      </c>
      <c r="E74" s="44">
        <f>D74+1</f>
        <v>45539</v>
      </c>
      <c r="F74" s="44">
        <f>E74+1</f>
        <v>45540</v>
      </c>
      <c r="G74" s="44">
        <f>F74+1</f>
        <v>45541</v>
      </c>
      <c r="H74" s="14">
        <f>G74+1</f>
        <v>45542</v>
      </c>
    </row>
    <row r="75" spans="1:8" ht="90" customHeight="1" x14ac:dyDescent="0.2">
      <c r="A75" s="25">
        <f>YEAR(B74)</f>
        <v>2024</v>
      </c>
      <c r="B75" s="36"/>
      <c r="C75" s="21" t="s">
        <v>14</v>
      </c>
      <c r="D75" s="34"/>
      <c r="E75" s="34"/>
      <c r="F75" s="34"/>
      <c r="G75" s="34"/>
      <c r="H75" s="35"/>
    </row>
    <row r="76" spans="1:8" ht="19.95" customHeight="1" x14ac:dyDescent="0.25">
      <c r="A76" s="43">
        <f>WEEKNUM(B76)</f>
        <v>37</v>
      </c>
      <c r="B76" s="9">
        <f>H74+1</f>
        <v>45543</v>
      </c>
      <c r="C76" s="44">
        <f>B76+1</f>
        <v>45544</v>
      </c>
      <c r="D76" s="44">
        <f>C76+1</f>
        <v>45545</v>
      </c>
      <c r="E76" s="44">
        <f>D76+1</f>
        <v>45546</v>
      </c>
      <c r="F76" s="44">
        <f>E76+1</f>
        <v>45547</v>
      </c>
      <c r="G76" s="44">
        <f>F76+1</f>
        <v>45548</v>
      </c>
      <c r="H76" s="14">
        <f>G76+1</f>
        <v>45549</v>
      </c>
    </row>
    <row r="77" spans="1:8" ht="90" customHeight="1" x14ac:dyDescent="0.2">
      <c r="A77" s="25">
        <f>YEAR(B76)</f>
        <v>2024</v>
      </c>
      <c r="B77" s="36"/>
      <c r="C77" s="34"/>
      <c r="D77" s="34"/>
      <c r="E77" s="34"/>
      <c r="F77" s="34"/>
      <c r="G77" s="34"/>
      <c r="H77" s="35"/>
    </row>
    <row r="78" spans="1:8" ht="19.95" customHeight="1" x14ac:dyDescent="0.25">
      <c r="A78" s="43">
        <f>WEEKNUM(B78)</f>
        <v>38</v>
      </c>
      <c r="B78" s="9">
        <f>H76+1</f>
        <v>45550</v>
      </c>
      <c r="C78" s="29">
        <f>B78+1</f>
        <v>45551</v>
      </c>
      <c r="D78" s="44">
        <f>C78+1</f>
        <v>45552</v>
      </c>
      <c r="E78" s="44">
        <f>D78+1</f>
        <v>45553</v>
      </c>
      <c r="F78" s="44">
        <f>E78+1</f>
        <v>45554</v>
      </c>
      <c r="G78" s="44">
        <f>F78+1</f>
        <v>45555</v>
      </c>
      <c r="H78" s="14">
        <f>G78+1</f>
        <v>45556</v>
      </c>
    </row>
    <row r="79" spans="1:8" ht="90" customHeight="1" x14ac:dyDescent="0.2">
      <c r="A79" s="25">
        <f>YEAR(B78)</f>
        <v>2024</v>
      </c>
      <c r="B79" s="36"/>
      <c r="C79" s="28" t="s">
        <v>59</v>
      </c>
      <c r="D79" s="34"/>
      <c r="E79" s="34"/>
      <c r="F79" s="34"/>
      <c r="G79" s="34"/>
      <c r="H79" s="35"/>
    </row>
    <row r="80" spans="1:8" ht="19.95" customHeight="1" x14ac:dyDescent="0.25">
      <c r="A80" s="43">
        <f>WEEKNUM(B80)</f>
        <v>39</v>
      </c>
      <c r="B80" s="9">
        <f>H78+1</f>
        <v>45557</v>
      </c>
      <c r="C80" s="29">
        <f>B80+1</f>
        <v>45558</v>
      </c>
      <c r="D80" s="44">
        <f>C80+1</f>
        <v>45559</v>
      </c>
      <c r="E80" s="44">
        <f>D80+1</f>
        <v>45560</v>
      </c>
      <c r="F80" s="44">
        <f>E80+1</f>
        <v>45561</v>
      </c>
      <c r="G80" s="44">
        <f>F80+1</f>
        <v>45562</v>
      </c>
      <c r="H80" s="14">
        <f>G80+1</f>
        <v>45563</v>
      </c>
    </row>
    <row r="81" spans="1:8" ht="90" customHeight="1" x14ac:dyDescent="0.2">
      <c r="A81" s="25">
        <f>YEAR(B80)</f>
        <v>2024</v>
      </c>
      <c r="B81" s="18" t="s">
        <v>60</v>
      </c>
      <c r="C81" s="28" t="s">
        <v>61</v>
      </c>
      <c r="D81" s="34"/>
      <c r="E81" s="34"/>
      <c r="F81" s="34"/>
      <c r="G81" s="34"/>
      <c r="H81" s="35"/>
    </row>
    <row r="82" spans="1:8" ht="19.95" customHeight="1" x14ac:dyDescent="0.3">
      <c r="A82" s="43">
        <f>WEEKNUM(B82)</f>
        <v>40</v>
      </c>
      <c r="B82" s="9">
        <f>H80+1</f>
        <v>45564</v>
      </c>
      <c r="C82" s="44">
        <f>B82+1</f>
        <v>45565</v>
      </c>
      <c r="D82" s="7">
        <f>C82+1</f>
        <v>45566</v>
      </c>
      <c r="E82" s="3">
        <f>D82+1</f>
        <v>45567</v>
      </c>
      <c r="F82" s="3">
        <f>E82+1</f>
        <v>45568</v>
      </c>
      <c r="G82" s="3">
        <f>F82+1</f>
        <v>45569</v>
      </c>
      <c r="H82" s="15">
        <f>G82+1</f>
        <v>45570</v>
      </c>
    </row>
    <row r="83" spans="1:8" ht="90" customHeight="1" x14ac:dyDescent="0.2">
      <c r="A83" s="25">
        <f>YEAR(B82)</f>
        <v>2024</v>
      </c>
      <c r="B83" s="36"/>
      <c r="C83" s="34"/>
      <c r="D83" s="32"/>
      <c r="E83" s="32"/>
      <c r="F83" s="32"/>
      <c r="G83" s="32"/>
      <c r="H83" s="37"/>
    </row>
    <row r="84" spans="1:8" ht="19.95" customHeight="1" x14ac:dyDescent="0.25">
      <c r="A84" s="43">
        <f>WEEKNUM(B84)</f>
        <v>41</v>
      </c>
      <c r="B84" s="10">
        <f>H82+1</f>
        <v>45571</v>
      </c>
      <c r="C84" s="3">
        <f>B84+1</f>
        <v>45572</v>
      </c>
      <c r="D84" s="3">
        <f>C84+1</f>
        <v>45573</v>
      </c>
      <c r="E84" s="3">
        <f>D84+1</f>
        <v>45574</v>
      </c>
      <c r="F84" s="3">
        <f>E84+1</f>
        <v>45575</v>
      </c>
      <c r="G84" s="3">
        <f>F84+1</f>
        <v>45576</v>
      </c>
      <c r="H84" s="15">
        <f>G84+1</f>
        <v>45577</v>
      </c>
    </row>
    <row r="85" spans="1:8" ht="90" customHeight="1" x14ac:dyDescent="0.2">
      <c r="A85" s="25">
        <f>YEAR(B84)</f>
        <v>2024</v>
      </c>
      <c r="B85" s="33"/>
      <c r="C85" s="32"/>
      <c r="D85" s="32"/>
      <c r="E85" s="32"/>
      <c r="F85" s="32"/>
      <c r="G85" s="32"/>
      <c r="H85" s="37"/>
    </row>
    <row r="86" spans="1:8" ht="19.95" customHeight="1" x14ac:dyDescent="0.25">
      <c r="A86" s="43">
        <f>WEEKNUM(B86)</f>
        <v>42</v>
      </c>
      <c r="B86" s="10">
        <f>H84+1</f>
        <v>45578</v>
      </c>
      <c r="C86" s="23">
        <f>B86+1</f>
        <v>45579</v>
      </c>
      <c r="D86" s="3">
        <f>C86+1</f>
        <v>45580</v>
      </c>
      <c r="E86" s="3">
        <f>D86+1</f>
        <v>45581</v>
      </c>
      <c r="F86" s="3">
        <f>E86+1</f>
        <v>45582</v>
      </c>
      <c r="G86" s="3">
        <f>F86+1</f>
        <v>45583</v>
      </c>
      <c r="H86" s="15">
        <f>G86+1</f>
        <v>45584</v>
      </c>
    </row>
    <row r="87" spans="1:8" ht="90" customHeight="1" x14ac:dyDescent="0.2">
      <c r="A87" s="25">
        <f>YEAR(B86)</f>
        <v>2024</v>
      </c>
      <c r="B87" s="33"/>
      <c r="C87" s="27" t="s">
        <v>67</v>
      </c>
      <c r="D87" s="32"/>
      <c r="E87" s="32"/>
      <c r="F87" s="32"/>
      <c r="G87" s="32"/>
      <c r="H87" s="37"/>
    </row>
    <row r="88" spans="1:8" ht="19.95" customHeight="1" x14ac:dyDescent="0.25">
      <c r="A88" s="43">
        <f>WEEKNUM(B88)</f>
        <v>43</v>
      </c>
      <c r="B88" s="10">
        <f>H86+1</f>
        <v>45585</v>
      </c>
      <c r="C88" s="3">
        <f>B88+1</f>
        <v>45586</v>
      </c>
      <c r="D88" s="3">
        <f>C88+1</f>
        <v>45587</v>
      </c>
      <c r="E88" s="3">
        <f>D88+1</f>
        <v>45588</v>
      </c>
      <c r="F88" s="3">
        <f>E88+1</f>
        <v>45589</v>
      </c>
      <c r="G88" s="3">
        <f>F88+1</f>
        <v>45590</v>
      </c>
      <c r="H88" s="15">
        <f>G88+1</f>
        <v>45591</v>
      </c>
    </row>
    <row r="89" spans="1:8" ht="90" customHeight="1" x14ac:dyDescent="0.2">
      <c r="A89" s="25">
        <f>YEAR(B88)</f>
        <v>2024</v>
      </c>
      <c r="B89" s="33"/>
      <c r="C89" s="32"/>
      <c r="D89" s="32"/>
      <c r="E89" s="32"/>
      <c r="F89" s="32"/>
      <c r="G89" s="32"/>
      <c r="H89" s="37"/>
    </row>
    <row r="90" spans="1:8" ht="19.95" customHeight="1" x14ac:dyDescent="0.3">
      <c r="A90" s="43">
        <f>WEEKNUM(B90)</f>
        <v>44</v>
      </c>
      <c r="B90" s="10">
        <f>H88+1</f>
        <v>45592</v>
      </c>
      <c r="C90" s="3">
        <f>B90+1</f>
        <v>45593</v>
      </c>
      <c r="D90" s="3">
        <f>C90+1</f>
        <v>45594</v>
      </c>
      <c r="E90" s="3">
        <f>D90+1</f>
        <v>45595</v>
      </c>
      <c r="F90" s="3">
        <f>E90+1</f>
        <v>45596</v>
      </c>
      <c r="G90" s="46">
        <f>F90+1</f>
        <v>45597</v>
      </c>
      <c r="H90" s="14">
        <f>G90+1</f>
        <v>45598</v>
      </c>
    </row>
    <row r="91" spans="1:8" ht="90" customHeight="1" x14ac:dyDescent="0.2">
      <c r="A91" s="25">
        <f>YEAR(B90)</f>
        <v>2024</v>
      </c>
      <c r="B91" s="33"/>
      <c r="C91" s="32"/>
      <c r="D91" s="32"/>
      <c r="E91" s="32"/>
      <c r="F91" s="32"/>
      <c r="G91" s="34"/>
      <c r="H91" s="35"/>
    </row>
    <row r="92" spans="1:8" ht="19.95" customHeight="1" x14ac:dyDescent="0.25">
      <c r="A92" s="43">
        <f>WEEKNUM(B92)</f>
        <v>45</v>
      </c>
      <c r="B92" s="9">
        <f>H90+1</f>
        <v>45599</v>
      </c>
      <c r="C92" s="29">
        <f>B92+1</f>
        <v>45600</v>
      </c>
      <c r="D92" s="44">
        <f>C92+1</f>
        <v>45601</v>
      </c>
      <c r="E92" s="44">
        <f>D92+1</f>
        <v>45602</v>
      </c>
      <c r="F92" s="44">
        <f>E92+1</f>
        <v>45603</v>
      </c>
      <c r="G92" s="44">
        <f>F92+1</f>
        <v>45604</v>
      </c>
      <c r="H92" s="14">
        <f>G92+1</f>
        <v>45605</v>
      </c>
    </row>
    <row r="93" spans="1:8" ht="90" customHeight="1" x14ac:dyDescent="0.2">
      <c r="A93" s="25">
        <f>YEAR(B92)</f>
        <v>2024</v>
      </c>
      <c r="B93" s="18" t="s">
        <v>62</v>
      </c>
      <c r="C93" s="28" t="s">
        <v>63</v>
      </c>
      <c r="D93" s="34"/>
      <c r="E93" s="34"/>
      <c r="F93" s="34"/>
      <c r="G93" s="34"/>
      <c r="H93" s="35"/>
    </row>
    <row r="94" spans="1:8" ht="19.95" customHeight="1" x14ac:dyDescent="0.25">
      <c r="A94" s="43">
        <f>WEEKNUM(B94)</f>
        <v>46</v>
      </c>
      <c r="B94" s="9">
        <f>H92+1</f>
        <v>45606</v>
      </c>
      <c r="C94" s="22">
        <f>B94+1</f>
        <v>45607</v>
      </c>
      <c r="D94" s="44">
        <f>C94+1</f>
        <v>45608</v>
      </c>
      <c r="E94" s="44">
        <f>D94+1</f>
        <v>45609</v>
      </c>
      <c r="F94" s="44">
        <f>E94+1</f>
        <v>45610</v>
      </c>
      <c r="G94" s="44">
        <f>F94+1</f>
        <v>45611</v>
      </c>
      <c r="H94" s="14">
        <f>G94+1</f>
        <v>45612</v>
      </c>
    </row>
    <row r="95" spans="1:8" ht="90" customHeight="1" x14ac:dyDescent="0.2">
      <c r="A95" s="25">
        <f>YEAR(B94)</f>
        <v>2024</v>
      </c>
      <c r="B95" s="36"/>
      <c r="C95" s="21" t="s">
        <v>22</v>
      </c>
      <c r="D95" s="34"/>
      <c r="E95" s="34"/>
      <c r="F95" s="34"/>
      <c r="G95" s="34"/>
      <c r="H95" s="35"/>
    </row>
    <row r="96" spans="1:8" ht="19.95" customHeight="1" x14ac:dyDescent="0.25">
      <c r="A96" s="43">
        <f>WEEKNUM(B96)</f>
        <v>47</v>
      </c>
      <c r="B96" s="9">
        <f>H94+1</f>
        <v>45613</v>
      </c>
      <c r="C96" s="44">
        <f>B96+1</f>
        <v>45614</v>
      </c>
      <c r="D96" s="44">
        <f>C96+1</f>
        <v>45615</v>
      </c>
      <c r="E96" s="44">
        <f>D96+1</f>
        <v>45616</v>
      </c>
      <c r="F96" s="44">
        <f>E96+1</f>
        <v>45617</v>
      </c>
      <c r="G96" s="44">
        <f>F96+1</f>
        <v>45618</v>
      </c>
      <c r="H96" s="14">
        <f>G96+1</f>
        <v>45619</v>
      </c>
    </row>
    <row r="97" spans="1:8" ht="90" customHeight="1" x14ac:dyDescent="0.2">
      <c r="A97" s="25">
        <f>YEAR(B96)</f>
        <v>2024</v>
      </c>
      <c r="B97" s="36"/>
      <c r="C97" s="34"/>
      <c r="D97" s="34"/>
      <c r="E97" s="34"/>
      <c r="F97" s="34"/>
      <c r="G97" s="34"/>
      <c r="H97" s="19" t="s">
        <v>64</v>
      </c>
    </row>
    <row r="98" spans="1:8" ht="19.95" customHeight="1" x14ac:dyDescent="0.25">
      <c r="A98" s="43">
        <f>WEEKNUM(B98)</f>
        <v>48</v>
      </c>
      <c r="B98" s="9">
        <f>H96+1</f>
        <v>45620</v>
      </c>
      <c r="C98" s="44">
        <f>B98+1</f>
        <v>45621</v>
      </c>
      <c r="D98" s="44">
        <f>C98+1</f>
        <v>45622</v>
      </c>
      <c r="E98" s="44">
        <f>D98+1</f>
        <v>45623</v>
      </c>
      <c r="F98" s="22">
        <f>E98+1</f>
        <v>45624</v>
      </c>
      <c r="G98" s="44">
        <f>F98+1</f>
        <v>45625</v>
      </c>
      <c r="H98" s="14">
        <f>G98+1</f>
        <v>45626</v>
      </c>
    </row>
    <row r="99" spans="1:8" ht="90" customHeight="1" x14ac:dyDescent="0.2">
      <c r="A99" s="25">
        <f>YEAR(B98)</f>
        <v>2024</v>
      </c>
      <c r="B99" s="36"/>
      <c r="C99" s="34"/>
      <c r="D99" s="34"/>
      <c r="E99" s="34"/>
      <c r="F99" s="21" t="s">
        <v>23</v>
      </c>
      <c r="G99" s="34"/>
      <c r="H99" s="35"/>
    </row>
    <row r="100" spans="1:8" ht="19.95" customHeight="1" x14ac:dyDescent="0.3">
      <c r="A100" s="43">
        <f>WEEKNUM(B100)</f>
        <v>49</v>
      </c>
      <c r="B100" s="12">
        <f>H98+1</f>
        <v>45627</v>
      </c>
      <c r="C100" s="3">
        <f>B100+1</f>
        <v>45628</v>
      </c>
      <c r="D100" s="3">
        <f>C100+1</f>
        <v>45629</v>
      </c>
      <c r="E100" s="3">
        <f>D100+1</f>
        <v>45630</v>
      </c>
      <c r="F100" s="3">
        <f>E100+1</f>
        <v>45631</v>
      </c>
      <c r="G100" s="3">
        <f>F100+1</f>
        <v>45632</v>
      </c>
      <c r="H100" s="15">
        <f>G100+1</f>
        <v>45633</v>
      </c>
    </row>
    <row r="101" spans="1:8" ht="90" customHeight="1" x14ac:dyDescent="0.2">
      <c r="A101" s="25">
        <f>YEAR(B100)</f>
        <v>2024</v>
      </c>
      <c r="B101" s="33"/>
      <c r="C101" s="32"/>
      <c r="D101" s="32"/>
      <c r="E101" s="32"/>
      <c r="F101" s="32"/>
      <c r="G101" s="32"/>
      <c r="H101" s="37"/>
    </row>
    <row r="102" spans="1:8" ht="19.95" customHeight="1" x14ac:dyDescent="0.25">
      <c r="A102" s="43">
        <f>WEEKNUM(B102)</f>
        <v>50</v>
      </c>
      <c r="B102" s="10">
        <f>H100+1</f>
        <v>45634</v>
      </c>
      <c r="C102" s="3">
        <f>B102+1</f>
        <v>45635</v>
      </c>
      <c r="D102" s="3">
        <f>C102+1</f>
        <v>45636</v>
      </c>
      <c r="E102" s="3">
        <f>D102+1</f>
        <v>45637</v>
      </c>
      <c r="F102" s="3">
        <f>E102+1</f>
        <v>45638</v>
      </c>
      <c r="G102" s="3">
        <f>F102+1</f>
        <v>45639</v>
      </c>
      <c r="H102" s="15">
        <f>G102+1</f>
        <v>45640</v>
      </c>
    </row>
    <row r="103" spans="1:8" ht="90" customHeight="1" x14ac:dyDescent="0.2">
      <c r="A103" s="25">
        <f>YEAR(B102)</f>
        <v>2024</v>
      </c>
      <c r="B103" s="33"/>
      <c r="C103" s="32"/>
      <c r="D103" s="32"/>
      <c r="E103" s="32"/>
      <c r="F103" s="32"/>
      <c r="G103" s="32"/>
      <c r="H103" s="37"/>
    </row>
    <row r="104" spans="1:8" ht="19.95" customHeight="1" x14ac:dyDescent="0.25">
      <c r="A104" s="43">
        <f>WEEKNUM(B104)</f>
        <v>51</v>
      </c>
      <c r="B104" s="10">
        <f>H102+1</f>
        <v>45641</v>
      </c>
      <c r="C104" s="3">
        <f>B104+1</f>
        <v>45642</v>
      </c>
      <c r="D104" s="3">
        <f>C104+1</f>
        <v>45643</v>
      </c>
      <c r="E104" s="3">
        <f>D104+1</f>
        <v>45644</v>
      </c>
      <c r="F104" s="3">
        <f>E104+1</f>
        <v>45645</v>
      </c>
      <c r="G104" s="3">
        <f>F104+1</f>
        <v>45646</v>
      </c>
      <c r="H104" s="15">
        <f>G104+1</f>
        <v>45647</v>
      </c>
    </row>
    <row r="105" spans="1:8" ht="90" customHeight="1" x14ac:dyDescent="0.2">
      <c r="A105" s="25">
        <f>YEAR(B104)</f>
        <v>2024</v>
      </c>
      <c r="B105" s="33"/>
      <c r="C105" s="32"/>
      <c r="D105" s="32"/>
      <c r="E105" s="32"/>
      <c r="F105" s="32"/>
      <c r="G105" s="32"/>
      <c r="H105" s="37"/>
    </row>
    <row r="106" spans="1:8" ht="19.95" customHeight="1" x14ac:dyDescent="0.25">
      <c r="A106" s="43">
        <f>WEEKNUM(B106)</f>
        <v>52</v>
      </c>
      <c r="B106" s="10">
        <f>H104+1</f>
        <v>45648</v>
      </c>
      <c r="C106" s="3">
        <f>B106+1</f>
        <v>45649</v>
      </c>
      <c r="D106" s="3">
        <f>C106+1</f>
        <v>45650</v>
      </c>
      <c r="E106" s="23">
        <f>D106+1</f>
        <v>45651</v>
      </c>
      <c r="F106" s="3">
        <f>E106+1</f>
        <v>45652</v>
      </c>
      <c r="G106" s="3">
        <f>F106+1</f>
        <v>45653</v>
      </c>
      <c r="H106" s="15">
        <f>G106+1</f>
        <v>45654</v>
      </c>
    </row>
    <row r="107" spans="1:8" ht="90" customHeight="1" x14ac:dyDescent="0.2">
      <c r="A107" s="25">
        <f>YEAR(B106)</f>
        <v>2024</v>
      </c>
      <c r="B107" s="33"/>
      <c r="C107" s="32"/>
      <c r="D107" s="32"/>
      <c r="E107" s="24" t="s">
        <v>24</v>
      </c>
      <c r="F107" s="32"/>
      <c r="G107" s="32"/>
      <c r="H107" s="37"/>
    </row>
    <row r="108" spans="1:8" ht="19.95" customHeight="1" x14ac:dyDescent="0.3">
      <c r="A108" s="43">
        <f>WEEKNUM(B108)</f>
        <v>53</v>
      </c>
      <c r="B108" s="10">
        <f>H106+1</f>
        <v>45655</v>
      </c>
      <c r="C108" s="3">
        <f>B108+1</f>
        <v>45656</v>
      </c>
      <c r="D108" s="3">
        <f>C108+1</f>
        <v>45657</v>
      </c>
      <c r="E108" s="46">
        <f>D108+1</f>
        <v>45658</v>
      </c>
      <c r="F108" s="44">
        <f>E108+1</f>
        <v>45659</v>
      </c>
      <c r="G108" s="44">
        <f>F108+1</f>
        <v>45660</v>
      </c>
      <c r="H108" s="14">
        <f>G108+1</f>
        <v>45661</v>
      </c>
    </row>
    <row r="109" spans="1:8" ht="90" customHeight="1" thickBot="1" x14ac:dyDescent="0.25">
      <c r="A109" s="25">
        <f>YEAR(B108)</f>
        <v>2024</v>
      </c>
      <c r="B109" s="38"/>
      <c r="C109" s="39"/>
      <c r="D109" s="39"/>
      <c r="E109" s="40"/>
      <c r="F109" s="40"/>
      <c r="G109" s="40"/>
      <c r="H109" s="41"/>
    </row>
    <row r="110" spans="1:8" ht="12" thickTop="1" x14ac:dyDescent="0.2"/>
  </sheetData>
  <pageMargins left="0.7" right="0.7" top="0.75" bottom="0.75" header="0.3" footer="0.3"/>
  <pageSetup paperSize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Holidays</vt:lpstr>
      <vt:lpstr>Calendar</vt:lpstr>
      <vt:lpstr>Calendar!Print_Titles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 Horizon Scheduler</dc:title>
  <dc:subject>Schedule Day Specific Deadlines</dc:subject>
  <dc:creator>Ben Fisher, PE, SE</dc:creator>
  <cp:keywords>Schedules</cp:keywords>
  <cp:lastModifiedBy>Ben Fisher</cp:lastModifiedBy>
  <cp:lastPrinted>2024-02-15T01:26:02Z</cp:lastPrinted>
  <dcterms:created xsi:type="dcterms:W3CDTF">2024-02-14T22:10:32Z</dcterms:created>
  <dcterms:modified xsi:type="dcterms:W3CDTF">2024-02-18T05:31:00Z</dcterms:modified>
</cp:coreProperties>
</file>