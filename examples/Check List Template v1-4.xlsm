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05 Table Templates\Github Resources\"/>
    </mc:Choice>
  </mc:AlternateContent>
  <xr:revisionPtr revIDLastSave="0" documentId="13_ncr:1_{A4D36CE0-3430-468E-9B6A-957BA427BBE6}" xr6:coauthVersionLast="47" xr6:coauthVersionMax="47" xr10:uidLastSave="{00000000-0000-0000-0000-000000000000}"/>
  <bookViews>
    <workbookView xWindow="6570" yWindow="1320" windowWidth="20175" windowHeight="12870" firstSheet="2" activeTab="5" xr2:uid="{A51200D7-D51A-4D4D-8A10-5219ABB2A53A}"/>
  </bookViews>
  <sheets>
    <sheet name="logos" sheetId="5" state="veryHidden" r:id="rId1"/>
    <sheet name="Hazard" sheetId="2" state="veryHidden" r:id="rId2"/>
    <sheet name="DBB" sheetId="1" r:id="rId3"/>
    <sheet name="DB" sheetId="3" r:id="rId4"/>
    <sheet name="template" sheetId="4" state="veryHidden" r:id="rId5"/>
    <sheet name="Checklist" sheetId="7" r:id="rId6"/>
  </sheets>
  <functionGroups builtInGroupCount="19"/>
  <definedNames>
    <definedName name="_xlnm.Print_Titles" localSheetId="5">Checklist!#REF!</definedName>
    <definedName name="_xlnm.Print_Titles" localSheetId="3">DB!$13:$13</definedName>
    <definedName name="_xlnm.Print_Titles" localSheetId="2">DBB!$13:$13</definedName>
    <definedName name="_xlnm.Print_Titles" localSheetId="4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2" l="1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F15" i="2"/>
  <c r="G15" i="2"/>
  <c r="H15" i="2"/>
  <c r="I15" i="2"/>
  <c r="E15" i="2"/>
</calcChain>
</file>

<file path=xl/sharedStrings.xml><?xml version="1.0" encoding="utf-8"?>
<sst xmlns="http://schemas.openxmlformats.org/spreadsheetml/2006/main" count="292" uniqueCount="221">
  <si>
    <t>Project:</t>
  </si>
  <si>
    <t>Location:</t>
  </si>
  <si>
    <t>Reviewer:</t>
  </si>
  <si>
    <t>Email:</t>
  </si>
  <si>
    <t>Modified version of ER 415-1-11 Appendix B Checklist</t>
  </si>
  <si>
    <t>Category</t>
  </si>
  <si>
    <t>Biddability</t>
  </si>
  <si>
    <t>Phase:</t>
  </si>
  <si>
    <t>Doc. Date:</t>
  </si>
  <si>
    <t>Topic</t>
  </si>
  <si>
    <t>Project requirements</t>
  </si>
  <si>
    <t>Item</t>
  </si>
  <si>
    <t>Estimating</t>
  </si>
  <si>
    <t>Comment</t>
  </si>
  <si>
    <t>ID</t>
  </si>
  <si>
    <t>Status</t>
  </si>
  <si>
    <t>Saved:</t>
  </si>
  <si>
    <t>Construction phasing requirements shown in the contract documents are clear, feasible, appropriate and reasonable.</t>
  </si>
  <si>
    <t>Baseline work is not dependent on option work.</t>
  </si>
  <si>
    <t>Option work is not dependent on other option work.</t>
  </si>
  <si>
    <t>Limits of each phase/option are clearly identified.</t>
  </si>
  <si>
    <t>Work site and storage/laydown spaces are adequate and limits clearly shown.</t>
  </si>
  <si>
    <t>A/E proposed construction schedule has been considered in creating reasonable contract performance period in the solicitation.</t>
  </si>
  <si>
    <t>A/E proposed construction scheduled has been reviewed and vetted.</t>
  </si>
  <si>
    <t>Construction schedule</t>
  </si>
  <si>
    <t>Site logistics</t>
  </si>
  <si>
    <t>Security/access requirement impacts have been considered.</t>
  </si>
  <si>
    <t>Measurement, price and payment procedure (01 22 00.00 10) is clear and complete.</t>
  </si>
  <si>
    <t>BCOES comments in Dr Checks have been closed.</t>
  </si>
  <si>
    <t>Technical Review comments in Dr Checks have been closed.</t>
  </si>
  <si>
    <t>Government review</t>
  </si>
  <si>
    <t>Selection criteria</t>
  </si>
  <si>
    <t>Risk assessment</t>
  </si>
  <si>
    <t>Risk assessment has been performed throughout the design process.</t>
  </si>
  <si>
    <t>There are no unresolved or unaddressed risks.</t>
  </si>
  <si>
    <t>Phasing, Options and Dependencies</t>
  </si>
  <si>
    <t>Plans are consistent and coordinated with the Specifications:
[  ] There are no coverage gaps
[  ] There are no conflicts</t>
  </si>
  <si>
    <t>Special install requirements by G/KTR are clearly identified. [Default: contractor furnished/installed]</t>
  </si>
  <si>
    <t>There are no dependencies or coordination required with other US or Host Nation projects.</t>
  </si>
  <si>
    <t>The current working estimate (CWE) is less than the construction cost limitation.</t>
  </si>
  <si>
    <t>CLIN schedule and associated Measurements and Payments specification conform with the FAR (Subpart 36.207) per ER 1110-1-8155.</t>
  </si>
  <si>
    <t>CLIN schedule and associated Measurements and Payments specification section have been reviewed by the following departments:
[  ] Cost
[  ] Construction
[  ] Contracting
[  ] PPMD</t>
  </si>
  <si>
    <t>Specification "submittal scrub":
[  ] Unnecessary sections/paragraphs removed
[  ] Unnecessary submittals removed
[  ] Bracket, reference, error reports reviewed</t>
  </si>
  <si>
    <t>Selection critera for relevant acquisition methods are included in the Div 00 specifications: i.e., required minimum experience and qualifications, etc.</t>
  </si>
  <si>
    <t>Instances where requirements in contract documents obligate the Government with duty by a specific time, e.g., "Government will" verbiage, are:
[  ] Identified by the A/E
[  ] PM has developed an MOU with the stakeholder outlining these obligations.</t>
  </si>
  <si>
    <t>Known hazmat or other environmental issues are identified and clearly referenced in contract documents.</t>
  </si>
  <si>
    <t>Specialized areas requiring additional attention (e.g., fuel commissioning, cybersecurity, etc.) have been identified and are clearly indicated in contract documents.</t>
  </si>
  <si>
    <t>Construction documents incorporate customer's stated needs and objectives.</t>
  </si>
  <si>
    <t>The acquisition strategy and method of delivery is appropriate for the project.</t>
  </si>
  <si>
    <t>CLINS</t>
  </si>
  <si>
    <t>CLINs are consistent with the Bid Schedule</t>
  </si>
  <si>
    <t>CLINs are appropriately linked to specification sections and definable features of work in contract.</t>
  </si>
  <si>
    <t>Quantity of items can be estimated and verify.</t>
  </si>
  <si>
    <t>Estimated quantities are reasonable.</t>
  </si>
  <si>
    <t>Drawings contain definite, definable pay lines for computing quantities in CM, SM, etc.</t>
  </si>
  <si>
    <t>Work components of lump sum items are clearly defined in the specifications. Where CLINs are in lump sum amounts, associated payment paragraphs should also be lump sum.</t>
  </si>
  <si>
    <t>Lump sum items and quantities for unit price items do not overlap or double count.</t>
  </si>
  <si>
    <t>Items of uncertain quantity or expected to vary substantially use subdivided items per EFARS/UAI (e.g., excavation, dredging, fill stone, rock excavation, etc.)</t>
  </si>
  <si>
    <t>Constructability</t>
  </si>
  <si>
    <t>Operability</t>
  </si>
  <si>
    <t>QA/QC</t>
  </si>
  <si>
    <t>Special inspection requirements are addressed.</t>
  </si>
  <si>
    <t>Government inspection duties are clearly identified and are reasonable.</t>
  </si>
  <si>
    <t>QA and QC are approprately and adequately addressed in the contract documents.</t>
  </si>
  <si>
    <t>Haul routes and access to site and storage/laydown areas are clearly shown in contract documents.</t>
  </si>
  <si>
    <t>Engineering Considerations and Instructions for Field Personanel (ECIFP) report addresses construction salient features.</t>
  </si>
  <si>
    <t>Load restrictions for access routes on site have been identified.</t>
  </si>
  <si>
    <t>Existing conditions</t>
  </si>
  <si>
    <t>Existing conditions that are mapped show actual current site conditions on contract drawings (and accuracy has been verified):
[  ] Site access
[  ] Utility avaliability
[  ] Drainage
[  ] Storage area
[  ] Existing UG utilities
[  ] General site conditions</t>
  </si>
  <si>
    <t>Requirements to coordinate location and relocation of existing utilities is clear and complete.</t>
  </si>
  <si>
    <t>Probability</t>
  </si>
  <si>
    <t>Severity</t>
  </si>
  <si>
    <t>Catastrophic</t>
  </si>
  <si>
    <t>Critical</t>
  </si>
  <si>
    <t>Marginal</t>
  </si>
  <si>
    <t>Negligible</t>
  </si>
  <si>
    <t>High</t>
  </si>
  <si>
    <t>Low</t>
  </si>
  <si>
    <t>Moderate</t>
  </si>
  <si>
    <t>Significant</t>
  </si>
  <si>
    <t>Value</t>
  </si>
  <si>
    <t>Frequent (A)</t>
  </si>
  <si>
    <t>Probable (B)</t>
  </si>
  <si>
    <t>Occasional (C)</t>
  </si>
  <si>
    <t>Infrequent (D)</t>
  </si>
  <si>
    <t>Improbable (E)</t>
  </si>
  <si>
    <t>Risk Outcomes</t>
  </si>
  <si>
    <t>Threshold</t>
  </si>
  <si>
    <t>Consequence</t>
  </si>
  <si>
    <t>Likelihood</t>
  </si>
  <si>
    <t>Version 1.1</t>
  </si>
  <si>
    <t>Local materials and labor</t>
  </si>
  <si>
    <t>Local materials are appropriately addressed.</t>
  </si>
  <si>
    <t>CAD/BIM products are compatible with facility owner/user systems (if intended to be used in operation).</t>
  </si>
  <si>
    <t>Coordination with privatized utility providers/owners is identified and appropriately addressed in the contract documents.</t>
  </si>
  <si>
    <t>LEED, Guiding Principlies and LID requirements are clearly and appropriate specified and consistent with the authorizing documents.</t>
  </si>
  <si>
    <t>Specifications</t>
  </si>
  <si>
    <t>Environmental and Sustainability</t>
  </si>
  <si>
    <t>Accreditation</t>
  </si>
  <si>
    <t>Environmental and sustainable FAR clauses and requirements are included in the specifications.</t>
  </si>
  <si>
    <t>Warranty provisions are clear and enforcable.</t>
  </si>
  <si>
    <t>Value Engineering Change Proposal (VECP) clause included in the contract docuemnts is in accordance with the FAR provisions.</t>
  </si>
  <si>
    <t>Value Engineering process has been conducted and certification has been issued.</t>
  </si>
  <si>
    <t>Hazards</t>
  </si>
  <si>
    <t>Site is clear of military munitions or unexploded ordinance.</t>
  </si>
  <si>
    <t>Munitions response site inventory, applicable historical record and archives search reports records have been checked.</t>
  </si>
  <si>
    <t>If munitions or UXO are present, planning has been completed to address explosives safety hazards, either as separate pre-award munitions response project or inclusion of muntions and explosives of concern concentration (MEC) requirements in contract clauses.</t>
  </si>
  <si>
    <t>Local labor sources and their influence on construction approach, schedule and cost been considered.</t>
  </si>
  <si>
    <t>Local construction methods used in the project have been appropropriately vetted; and their methodology and QC/QA procedures have been appropriately documented in the contract drawings.</t>
  </si>
  <si>
    <t>Contractor access</t>
  </si>
  <si>
    <t>If an exclusion zone is necessary for construction, the logistics, sequencing and impacts on cost and schedule have been considered and incorporated into the construction documents.</t>
  </si>
  <si>
    <t>Provisions to collect operations and maintenance data during the construction phase for transfer to the user/owner have been made.</t>
  </si>
  <si>
    <t>The facility owner/user have been involved in an operability review, and their input has been coordinated into the design and construction documents.</t>
  </si>
  <si>
    <t>[FAR Part 48]</t>
  </si>
  <si>
    <t>Architectural compatibility considerations with existing facilities and established installation/base plans has been incorporated into the design and construction documents.</t>
  </si>
  <si>
    <t>The site is clear of major hazards such as Hazardous, Toxic and Radioactive Waste (HTRW). If not, HTRW hazards have been identified and addressed in the construction documents.</t>
  </si>
  <si>
    <t>The site is clear of known subsurface obstructions and hazards.</t>
  </si>
  <si>
    <t>Drawings comply with current geospatial standards.</t>
  </si>
  <si>
    <t>[SDSFIE &amp; A/E/C CADD Standards]</t>
  </si>
  <si>
    <t>Adequate information</t>
  </si>
  <si>
    <t>Survey data is current, dated and adequate to show existing site conditions.</t>
  </si>
  <si>
    <t>Adequate horizonal alignment and elevation control reference points have been provided.</t>
  </si>
  <si>
    <t>Essential details and proper verbiage included in contract documents in order to complete mission.</t>
  </si>
  <si>
    <t>Environmental hazards or challenges have been eliminated or identified and addressed.</t>
  </si>
  <si>
    <t>Job site erosion control has been appropriately addressed.</t>
  </si>
  <si>
    <t>Plans and specs</t>
  </si>
  <si>
    <t>Remediation and disposal of existing hazardous materials has been appropriately addressed.</t>
  </si>
  <si>
    <t>Specifications address the impact of construction on the environment and actively attempt to minimize adverse impacts.</t>
  </si>
  <si>
    <t>Project does not encroach on wetlands or endangered species habitats.</t>
  </si>
  <si>
    <t>If project encroaches on wetlands or endangered species habitats, appropriate planning and action have been taken.</t>
  </si>
  <si>
    <t>Is a submittal required for a contractor prepared environmtal plan? If so, does it address mitigation of water, air, soil, noise pollution and other (specify) concerns?</t>
  </si>
  <si>
    <t>Wetlands and protected habitats</t>
  </si>
  <si>
    <t>Erosion control is addressed in rivers/streams and along shorelines.</t>
  </si>
  <si>
    <t>Planting and topsoil requirements are maintainable and consistent with the environment.</t>
  </si>
  <si>
    <t>Permitting</t>
  </si>
  <si>
    <t>Are there local entities that need to be coordinated with or permits that will be needed?</t>
  </si>
  <si>
    <t>O&amp;M</t>
  </si>
  <si>
    <t>O&amp;M manuals/videos, training, spare parts, keys, warranties, warranty response times and sources, as-built drawings, and transfer of O&amp;M data from the construction phase are appropriately addressed in the specifications.</t>
  </si>
  <si>
    <t>User input</t>
  </si>
  <si>
    <t>Contract documents include all applicable permits to operate facility (if required).</t>
  </si>
  <si>
    <t>Permtting and coordination</t>
  </si>
  <si>
    <t>Testing, balancing, commissioning and certifications are adquately addressed in the contract documents.</t>
  </si>
  <si>
    <t>Abbreviations and nomenclature are consistent with construction needs.</t>
  </si>
  <si>
    <t>[Unnecessary jargon and non-standard terms that could be difficult to translate should be avoided]</t>
  </si>
  <si>
    <t>The drawings have a consistent system for indicating sections and details.</t>
  </si>
  <si>
    <t>Titleblocks are consistent and properly filled out.</t>
  </si>
  <si>
    <t>There are no ambigious requirements or exculpatory language used, where the designer should be more descriptive.</t>
  </si>
  <si>
    <t>Submittal types (e.g. FIO, GA, S) are appropriately categorized per ER 415-1-10. Specifications list submittals needed to effectively administer the contract (ER 415-1-10).</t>
  </si>
  <si>
    <t>Contract sequencing and relations to other work are appropriate.</t>
  </si>
  <si>
    <t>Contract performance time, submittal schedule, and quality control systems are adequately defined.</t>
  </si>
  <si>
    <t>Conflict resolution process is adequately defined.</t>
  </si>
  <si>
    <t>Project and public safety measures are adequately addressed.</t>
  </si>
  <si>
    <t>Specifications adequately and accurately reference EM 385-1-1.</t>
  </si>
  <si>
    <t>Construction contract is consistent with the FAR, DFARS, AFARS, and EFARS/UAI.</t>
  </si>
  <si>
    <r>
      <t xml:space="preserve">Example BCOES Review Checklist for </t>
    </r>
    <r>
      <rPr>
        <b/>
        <sz val="12"/>
        <color rgb="FF1E90FF"/>
        <rFont val="Arial"/>
        <family val="2"/>
      </rPr>
      <t>Design-Bid-Build</t>
    </r>
    <r>
      <rPr>
        <b/>
        <sz val="12"/>
        <color theme="1"/>
        <rFont val="Arial"/>
        <family val="2"/>
      </rPr>
      <t xml:space="preserve"> Projects</t>
    </r>
  </si>
  <si>
    <r>
      <t xml:space="preserve">Example BCOES Review Checklist for </t>
    </r>
    <r>
      <rPr>
        <b/>
        <sz val="12"/>
        <color rgb="FF3CB371"/>
        <rFont val="Arial"/>
        <family val="2"/>
      </rPr>
      <t>Design-Build</t>
    </r>
    <r>
      <rPr>
        <b/>
        <sz val="12"/>
        <color theme="1"/>
        <rFont val="Arial"/>
        <family val="2"/>
      </rPr>
      <t xml:space="preserve"> Projects</t>
    </r>
  </si>
  <si>
    <t>DB</t>
  </si>
  <si>
    <t>Scope</t>
  </si>
  <si>
    <t>Scope of project is consistent with authorizing documents.</t>
  </si>
  <si>
    <t>RFP technical provisions and other docs incorporate the customer's stated needs and objectives.</t>
  </si>
  <si>
    <t>Acquisition strategy and method of delivery is appropriate for the project.</t>
  </si>
  <si>
    <t>Acquistion</t>
  </si>
  <si>
    <t>Technical and evaluation parts of the RFP are consistent and compatible.</t>
  </si>
  <si>
    <t>Scope of construction is clear in the project techical criteria and engineering documents in the RFP.</t>
  </si>
  <si>
    <t>Minimum design criteria for all desired, essential, or mandatory elements of the project are clearly stated in the RFP.</t>
  </si>
  <si>
    <t>RFP clearly states the detailed drawings, project descriptions, quality, and performanece requirements that will be expected as a complete final design after award of the contract.</t>
  </si>
  <si>
    <t>RFP clearly describes the design review process included required design submittals and deliverables.</t>
  </si>
  <si>
    <t>Deliverables and schedule</t>
  </si>
  <si>
    <t>RFP clearly states the number of design submittals and deliverables that the DB contractor must make and that submittal types (e.g. FIO, GA, S) are appropriately categorized per ER 415-1-10.</t>
  </si>
  <si>
    <t>RFP clearly states when design activity stops and construction may begin for particular phases/features.</t>
  </si>
  <si>
    <t>Where commercial standards, codes and specs are necessary, the government PDT are familiar with and have ready access to said references.</t>
  </si>
  <si>
    <t>Criteria and standards</t>
  </si>
  <si>
    <t>RFP clearly indicates Federal, DoD, or Installation/Sponsor criteria codes, and specifications, applicable to the project.</t>
  </si>
  <si>
    <t>RFP specifically and clearly requires O&amp;M manuals and training at the system level.</t>
  </si>
  <si>
    <t>The current working estimate (CWE) and appropriate contingency are covered by a funded PRC, which conforms to project authorizing documents.</t>
  </si>
  <si>
    <t>Cost</t>
  </si>
  <si>
    <t>RFP includes a clear and accurate list of submittal requirements.</t>
  </si>
  <si>
    <t>Construction phasing is clear, feasible and appropriate.</t>
  </si>
  <si>
    <t>Phasing and options</t>
  </si>
  <si>
    <t>RFP contains options that may be used to determine what can be obtained within avaliable funds.</t>
  </si>
  <si>
    <t>Where options are included, limits of work for each option are clearly defined. Time for award of options is specified.</t>
  </si>
  <si>
    <t>Base work is not dependent on option work and option work is not dependent on other option work.</t>
  </si>
  <si>
    <t>Schedule</t>
  </si>
  <si>
    <t>Solicitation and contractor performance periods are reasonable.</t>
  </si>
  <si>
    <t>Does payment for offsite storage of materials need to be considered.</t>
  </si>
  <si>
    <t>RFP contains a construction cost limit (combined design and construction costs).</t>
  </si>
  <si>
    <t>RFP states a maximum construction time, and it's reasonable.</t>
  </si>
  <si>
    <t>RFP clearly decribes requirements for building and systems commissioning, including criteria and lists of systems and their components</t>
  </si>
  <si>
    <r>
      <t xml:space="preserve">RFP clearly describes the contractor quality control requirements for </t>
    </r>
    <r>
      <rPr>
        <u/>
        <sz val="8.5"/>
        <color theme="1"/>
        <rFont val="Arial"/>
        <family val="2"/>
      </rPr>
      <t>design</t>
    </r>
    <r>
      <rPr>
        <sz val="8.5"/>
        <color theme="1"/>
        <rFont val="Arial"/>
        <family val="2"/>
      </rPr>
      <t xml:space="preserve"> work, as well as the Government quality assurance requirements.</t>
    </r>
  </si>
  <si>
    <r>
      <t xml:space="preserve">RFP clearly describes the contractor quality control requirements for </t>
    </r>
    <r>
      <rPr>
        <u/>
        <sz val="8.5"/>
        <color theme="1"/>
        <rFont val="Arial"/>
        <family val="2"/>
      </rPr>
      <t>construction</t>
    </r>
    <r>
      <rPr>
        <sz val="8.5"/>
        <color theme="1"/>
        <rFont val="Arial"/>
        <family val="2"/>
      </rPr>
      <t xml:space="preserve"> work, as well as the Government quality assurance requirements.</t>
    </r>
  </si>
  <si>
    <t>RFP clearly describes mandatory Federal requirements for environmental standards, criteria and processes.</t>
  </si>
  <si>
    <t>RFP clearly indicates all buldings identified for renovation or demolition and have been sampled and tested for hazardous materials, lead paint, asbestos, etc., either by a facility owner or USACE.</t>
  </si>
  <si>
    <t>Operating and construction permits, permitting actions and responsibilities for permits are addressed in the RFP.</t>
  </si>
  <si>
    <t>Wetland and floodplain limits determined and clearly deliniated on the drawings included in the RFP.</t>
  </si>
  <si>
    <t>Utility capacity data and tie-in points clearly delineated on the drawings are included in the RFP.</t>
  </si>
  <si>
    <t>Existing information</t>
  </si>
  <si>
    <t>Potable water system pressure and capacity data tests done and the tests are provide in the RFP.</t>
  </si>
  <si>
    <t>Sufficient borings and/or test pits done to delineate general subsurface conditions and the results are provided in the RFP.</t>
  </si>
  <si>
    <t>If borings and test pit information not provided in RFP, criteria for necessary geotechnical investigations are addressed in the RFP.</t>
  </si>
  <si>
    <t>Local materials and methods</t>
  </si>
  <si>
    <t>Site-specific requirements, e.g., local codes, required materials, materials restrictions, and work restrictions are included in the RFP.</t>
  </si>
  <si>
    <t>RFP and design submittals and construction activities that are required to be coordinated with USACE Mandatory Centers of Expertise (MCE) are:
[  ] Defined in the RFP
[  ] Requirements are clear and compatible with other parts of the RFP</t>
  </si>
  <si>
    <t>Special conditions</t>
  </si>
  <si>
    <t>For Standard Design Facilities, the Center of Standardization has validated that the RFP meets Army Standands and Standard Designs.</t>
  </si>
  <si>
    <t>Proposed requirements align clearly and consistently with the evaluation factors and agree with the project criteria.</t>
  </si>
  <si>
    <t>RFP clearly provides guidance for deviating from any shown drawings and layout plans.</t>
  </si>
  <si>
    <t>O&amp;M materials</t>
  </si>
  <si>
    <t>Appropriate evaluation weights are clearly assigned to each of the selection factors in the RFP and Source Selection Plan</t>
  </si>
  <si>
    <t>Technical specs match the Source Selection Plan and the submission requirements/instructions of the RFP.</t>
  </si>
  <si>
    <t>NEPA/EIS</t>
  </si>
  <si>
    <t>Compliance with the requirements of NEPA has been verified. An EA or EIS has been completed, and a Record of Environmental Consideration or Finding of No Significant Impact been signed by the appropriate authority.</t>
  </si>
  <si>
    <t>Source Selection Plan</t>
  </si>
  <si>
    <t>Checklist Title</t>
  </si>
  <si>
    <t>Checklist Subtitle</t>
  </si>
  <si>
    <t>Client:</t>
  </si>
  <si>
    <t>P2:</t>
  </si>
  <si>
    <t>◁ PA</t>
  </si>
  <si>
    <t>◁ Email</t>
  </si>
  <si>
    <t>Checklist v1.4</t>
  </si>
  <si>
    <r>
      <t xml:space="preserve">Project scope in contract docs </t>
    </r>
    <r>
      <rPr>
        <u/>
        <sz val="9"/>
        <color theme="1"/>
        <rFont val="Arial"/>
        <family val="2"/>
      </rPr>
      <t>consistent</t>
    </r>
    <r>
      <rPr>
        <sz val="9"/>
        <color theme="1"/>
        <rFont val="Arial"/>
        <family val="2"/>
      </rPr>
      <t xml:space="preserve"> with authorizing documents.
[  ] All major items can be located from data on drawings</t>
    </r>
  </si>
  <si>
    <r>
      <t xml:space="preserve">Scope of construction is </t>
    </r>
    <r>
      <rPr>
        <u/>
        <sz val="9"/>
        <color theme="1"/>
        <rFont val="Arial"/>
        <family val="2"/>
      </rPr>
      <t>clear</t>
    </r>
    <r>
      <rPr>
        <sz val="9"/>
        <color theme="1"/>
        <rFont val="Arial"/>
        <family val="2"/>
      </rPr>
      <t xml:space="preserve"> on plans and specs.
[  ] Work limits are defined.
[  ] Work is completely within required limits.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</si>
</sst>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/d/yyyy\ h:mm\ AM/PM"/>
    <numFmt numFmtId="165" formatCode="&quot;$&quot;#,###"/>
  </numFmts>
  <fonts count="1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8.5"/>
      <color theme="1"/>
      <name val="Arial"/>
      <family val="2"/>
    </font>
    <font>
      <u/>
      <sz val="8.5"/>
      <color theme="1"/>
      <name val="Arial"/>
      <family val="2"/>
    </font>
    <font>
      <b/>
      <sz val="12"/>
      <color rgb="FF1E90FF"/>
      <name val="Arial"/>
      <family val="2"/>
    </font>
    <font>
      <b/>
      <sz val="12"/>
      <color rgb="FF3CB371"/>
      <name val="Arial"/>
      <family val="2"/>
    </font>
    <font>
      <sz val="9"/>
      <color theme="1"/>
      <name val="Arial"/>
      <family val="2"/>
    </font>
    <font>
      <u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CDCDC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1E90FF"/>
      </left>
      <right/>
      <top style="medium">
        <color rgb="FF1E90FF"/>
      </top>
      <bottom/>
      <diagonal/>
    </border>
    <border>
      <left style="medium">
        <color rgb="FF1E90FF"/>
      </left>
      <right/>
      <top/>
      <bottom/>
      <diagonal/>
    </border>
    <border>
      <left style="medium">
        <color rgb="FF1E90FF"/>
      </left>
      <right/>
      <top/>
      <bottom style="medium">
        <color rgb="FF1E90FF"/>
      </bottom>
      <diagonal/>
    </border>
    <border>
      <left/>
      <right style="medium">
        <color rgb="FF1E90FF"/>
      </right>
      <top style="medium">
        <color rgb="FF1E90FF"/>
      </top>
      <bottom style="medium">
        <color rgb="FF1E90FF"/>
      </bottom>
      <diagonal/>
    </border>
    <border>
      <left/>
      <right/>
      <top style="medium">
        <color rgb="FF1E90FF"/>
      </top>
      <bottom style="thin">
        <color rgb="FFC0C0C0"/>
      </bottom>
      <diagonal/>
    </border>
    <border>
      <left/>
      <right style="medium">
        <color rgb="FF1E90FF"/>
      </right>
      <top style="medium">
        <color rgb="FF1E90FF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/>
      <right style="medium">
        <color rgb="FF1E90FF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medium">
        <color rgb="FF1E90FF"/>
      </bottom>
      <diagonal/>
    </border>
    <border>
      <left/>
      <right style="medium">
        <color rgb="FF1E90FF"/>
      </right>
      <top style="thin">
        <color rgb="FFC0C0C0"/>
      </top>
      <bottom style="medium">
        <color rgb="FF1E90FF"/>
      </bottom>
      <diagonal/>
    </border>
    <border>
      <left style="thin">
        <color rgb="FFC0C0C0"/>
      </left>
      <right style="thin">
        <color rgb="FFC0C0C0"/>
      </right>
      <top style="medium">
        <color rgb="FF1E90FF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medium">
        <color rgb="FF1E90FF"/>
      </bottom>
      <diagonal/>
    </border>
    <border>
      <left style="thin">
        <color rgb="FFC0C0C0"/>
      </left>
      <right style="thin">
        <color rgb="FFC0C0C0"/>
      </right>
      <top style="medium">
        <color rgb="FF1E90FF"/>
      </top>
      <bottom style="medium">
        <color rgb="FF1E90FF"/>
      </bottom>
      <diagonal/>
    </border>
    <border>
      <left style="thin">
        <color rgb="FFC0C0C0"/>
      </left>
      <right style="thin">
        <color rgb="FFC0C0C0"/>
      </right>
      <top style="medium">
        <color rgb="FF1E90FF"/>
      </top>
      <bottom/>
      <diagonal/>
    </border>
    <border>
      <left style="thin">
        <color rgb="FFC0C0C0"/>
      </left>
      <right style="thin">
        <color rgb="FFC0C0C0"/>
      </right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/>
      <right style="thin">
        <color rgb="FFC0C0C0"/>
      </right>
      <top style="thin">
        <color rgb="FFC0C0C0"/>
      </top>
      <bottom/>
      <diagonal/>
    </border>
    <border>
      <left style="medium">
        <color rgb="FF1E90FF"/>
      </left>
      <right style="thin">
        <color rgb="FFC0C0C0"/>
      </right>
      <top style="thin">
        <color rgb="FFC0C0C0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 style="medium">
        <color rgb="FF1E90FF"/>
      </left>
      <right/>
      <top style="medium">
        <color rgb="FF1E90FF"/>
      </top>
      <bottom style="medium">
        <color rgb="FF1E90FF"/>
      </bottom>
      <diagonal/>
    </border>
    <border>
      <left/>
      <right/>
      <top style="medium">
        <color rgb="FF1E90FF"/>
      </top>
      <bottom style="medium">
        <color rgb="FF1E90FF"/>
      </bottom>
      <diagonal/>
    </border>
    <border>
      <left/>
      <right/>
      <top style="medium">
        <color rgb="FF1E90FF"/>
      </top>
      <bottom/>
      <diagonal/>
    </border>
    <border>
      <left/>
      <right style="medium">
        <color rgb="FF1E90FF"/>
      </right>
      <top style="medium">
        <color rgb="FF1E90FF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/>
    <xf numFmtId="0" fontId="1" fillId="0" borderId="0" xfId="0" applyFont="1"/>
    <xf numFmtId="0" fontId="2" fillId="0" borderId="0" xfId="0" applyFont="1"/>
    <xf numFmtId="0" fontId="4" fillId="2" borderId="2" xfId="1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164" fontId="3" fillId="2" borderId="3" xfId="0" applyNumberFormat="1" applyFont="1" applyFill="1" applyBorder="1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top"/>
    </xf>
    <xf numFmtId="0" fontId="0" fillId="3" borderId="1" xfId="0" applyFill="1" applyBorder="1" applyAlignment="1">
      <alignment vertical="top"/>
    </xf>
    <xf numFmtId="0" fontId="0" fillId="3" borderId="2" xfId="0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4" fillId="3" borderId="2" xfId="1" applyFill="1" applyBorder="1" applyAlignment="1">
      <alignment vertical="top"/>
    </xf>
    <xf numFmtId="164" fontId="3" fillId="3" borderId="3" xfId="0" applyNumberFormat="1" applyFont="1" applyFill="1" applyBorder="1" applyAlignment="1">
      <alignment horizontal="left" vertical="top"/>
    </xf>
    <xf numFmtId="0" fontId="5" fillId="0" borderId="17" xfId="0" applyFont="1" applyBorder="1" applyAlignment="1">
      <alignment horizontal="left" vertical="center" wrapText="1"/>
    </xf>
    <xf numFmtId="0" fontId="5" fillId="0" borderId="17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 wrapText="1"/>
    </xf>
    <xf numFmtId="0" fontId="5" fillId="0" borderId="23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 applyBorder="1"/>
    <xf numFmtId="0" fontId="2" fillId="4" borderId="1" xfId="0" applyFont="1" applyFill="1" applyBorder="1"/>
    <xf numFmtId="165" fontId="0" fillId="4" borderId="32" xfId="0" applyNumberFormat="1" applyFill="1" applyBorder="1"/>
    <xf numFmtId="0" fontId="0" fillId="4" borderId="33" xfId="0" applyFill="1" applyBorder="1"/>
    <xf numFmtId="164" fontId="0" fillId="0" borderId="0" xfId="0" applyNumberFormat="1" applyAlignment="1">
      <alignment horizontal="left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34" xfId="0" applyFont="1" applyBorder="1" applyAlignment="1">
      <alignment horizontal="left" vertical="center" wrapText="1"/>
    </xf>
    <xf numFmtId="0" fontId="0" fillId="0" borderId="35" xfId="0" applyFont="1" applyBorder="1" applyAlignment="1">
      <alignment horizontal="left" vertical="center" wrapText="1"/>
    </xf>
    <xf numFmtId="0" fontId="0" fillId="0" borderId="35" xfId="0" applyFont="1" applyBorder="1" applyAlignment="1">
      <alignment horizontal="left" vertical="center"/>
    </xf>
    <xf numFmtId="0" fontId="0" fillId="0" borderId="16" xfId="0" applyFont="1" applyBorder="1" applyAlignment="1">
      <alignment horizontal="left" vertical="center" wrapText="1"/>
    </xf>
    <xf numFmtId="0" fontId="0" fillId="0" borderId="26" xfId="0" applyFont="1" applyBorder="1" applyAlignment="1">
      <alignment horizontal="left" vertical="center"/>
    </xf>
    <xf numFmtId="0" fontId="0" fillId="0" borderId="26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5" fillId="0" borderId="13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0" fillId="0" borderId="36" xfId="0" applyFont="1" applyBorder="1" applyAlignment="1">
      <alignment horizontal="left" vertical="center" wrapText="1"/>
    </xf>
    <xf numFmtId="0" fontId="0" fillId="0" borderId="13" xfId="0" applyFont="1" applyBorder="1" applyAlignment="1">
      <alignment horizontal="left" vertical="center" wrapText="1"/>
    </xf>
    <xf numFmtId="0" fontId="0" fillId="0" borderId="37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top" wrapText="1"/>
    </xf>
    <xf numFmtId="0" fontId="9" fillId="0" borderId="26" xfId="0" applyFont="1" applyBorder="1" applyAlignment="1">
      <alignment horizontal="left" vertical="top" wrapText="1"/>
    </xf>
    <xf numFmtId="0" fontId="9" fillId="0" borderId="35" xfId="0" applyFont="1" applyBorder="1" applyAlignment="1">
      <alignment horizontal="left" vertical="center"/>
    </xf>
    <xf numFmtId="0" fontId="9" fillId="0" borderId="35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3" xfId="0" applyFont="1" applyBorder="1" applyAlignment="1">
      <alignment horizontal="left" vertical="top" wrapText="1"/>
    </xf>
    <xf numFmtId="0" fontId="9" fillId="0" borderId="27" xfId="0" applyFont="1" applyBorder="1" applyAlignment="1">
      <alignment horizontal="left" vertical="top" wrapText="1"/>
    </xf>
    <xf numFmtId="0" fontId="9" fillId="0" borderId="17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 wrapText="1"/>
    </xf>
    <xf numFmtId="0" fontId="9" fillId="0" borderId="23" xfId="0" applyFont="1" applyBorder="1" applyAlignment="1">
      <alignment horizontal="left" vertical="center"/>
    </xf>
    <xf numFmtId="0" fontId="9" fillId="0" borderId="18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left" vertical="top" wrapText="1"/>
    </xf>
    <xf numFmtId="0" fontId="9" fillId="0" borderId="28" xfId="0" applyFont="1" applyBorder="1" applyAlignment="1">
      <alignment horizontal="left" vertical="top" wrapText="1"/>
    </xf>
    <xf numFmtId="0" fontId="9" fillId="0" borderId="19" xfId="0" applyFont="1" applyBorder="1" applyAlignment="1">
      <alignment horizontal="left" vertical="center"/>
    </xf>
    <xf numFmtId="0" fontId="9" fillId="0" borderId="19" xfId="0" applyFont="1" applyBorder="1" applyAlignment="1">
      <alignment horizontal="left" vertical="center" wrapText="1"/>
    </xf>
    <xf numFmtId="0" fontId="9" fillId="0" borderId="24" xfId="0" applyFont="1" applyBorder="1" applyAlignment="1">
      <alignment horizontal="left" vertical="center"/>
    </xf>
    <xf numFmtId="0" fontId="9" fillId="0" borderId="20" xfId="0" applyFont="1" applyBorder="1" applyAlignment="1">
      <alignment horizontal="left" vertical="center" wrapText="1"/>
    </xf>
    <xf numFmtId="0" fontId="9" fillId="0" borderId="29" xfId="0" applyFont="1" applyBorder="1" applyAlignment="1">
      <alignment horizontal="left" vertical="top" wrapText="1"/>
    </xf>
    <xf numFmtId="0" fontId="9" fillId="0" borderId="31" xfId="0" applyFont="1" applyBorder="1" applyAlignment="1">
      <alignment horizontal="left" vertical="top" wrapText="1"/>
    </xf>
    <xf numFmtId="0" fontId="9" fillId="0" borderId="30" xfId="0" applyFont="1" applyBorder="1" applyAlignment="1">
      <alignment horizontal="left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25" xfId="0" applyFont="1" applyBorder="1" applyAlignment="1">
      <alignment horizontal="left" vertical="top" wrapText="1"/>
    </xf>
    <xf numFmtId="0" fontId="9" fillId="0" borderId="21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 wrapText="1"/>
    </xf>
    <xf numFmtId="0" fontId="9" fillId="0" borderId="25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 wrapText="1"/>
    </xf>
    <xf numFmtId="0" fontId="1" fillId="0" borderId="0" xfId="0" applyFont="1" applyAlignment="1">
      <alignment vertical="top"/>
    </xf>
    <xf numFmtId="164" fontId="0" fillId="0" borderId="0" xfId="0" applyNumberForma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34"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rgb="FF1E90FF"/>
        </right>
        <top style="thin">
          <color rgb="FFC0C0C0"/>
        </top>
        <bottom style="thin">
          <color rgb="FFC0C0C0"/>
        </bottom>
      </border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</border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rgb="FFC0C0C0"/>
        </top>
        <bottom style="thin">
          <color rgb="FFC0C0C0"/>
        </bottom>
      </border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C0C0C0"/>
        </left>
        <right/>
        <top style="thin">
          <color rgb="FFC0C0C0"/>
        </top>
        <bottom style="thin">
          <color rgb="FFC0C0C0"/>
        </bottom>
      </border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rgb="FFC0C0C0"/>
        </left>
        <right style="thin">
          <color rgb="FFC0C0C0"/>
        </right>
        <top/>
        <bottom/>
      </border>
    </dxf>
    <dxf>
      <font>
        <b val="0"/>
        <i val="0"/>
        <strike val="0"/>
        <outline val="0"/>
        <shadow val="0"/>
        <vertAlign val="baseline"/>
        <sz val="9"/>
        <color theme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 outline="0">
        <left style="medium">
          <color rgb="FF1E90FF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rgb="FF1E90FF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C0C0C0"/>
        </left>
        <right style="thin">
          <color rgb="FFC0C0C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C0C0C0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rgb="FFC0C0C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 outline="0">
        <left style="medium">
          <color rgb="FF1E90FF"/>
        </left>
        <right style="thin">
          <color rgb="FFC0C0C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medium">
          <color rgb="FF1E90FF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color rgb="FF969696"/>
      </font>
      <fill>
        <patternFill>
          <bgColor rgb="FFF0F0F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FFFFFF"/>
      </font>
      <fill>
        <patternFill>
          <bgColor rgb="FFFF4500"/>
        </patternFill>
      </fill>
    </dxf>
    <dxf>
      <font>
        <b val="0"/>
        <i val="0"/>
        <color rgb="FFFFFFFF"/>
      </font>
      <fill>
        <patternFill>
          <bgColor rgb="FF00B050"/>
        </patternFill>
      </fill>
    </dxf>
    <dxf>
      <font>
        <b val="0"/>
        <i val="0"/>
        <color rgb="FF969696"/>
      </font>
      <fill>
        <patternFill>
          <bgColor rgb="FFF0F0F0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alignment horizontal="left" vertical="center" textRotation="0" wrapText="1" indent="0" justifyLastLine="0" shrinkToFit="0" readingOrder="0"/>
      <border diagonalUp="0" diagonalDown="0">
        <left/>
        <right style="medium">
          <color rgb="FF1E90FF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rgb="FFC0C0C0"/>
        </left>
        <right style="thin">
          <color rgb="FFC0C0C0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rgb="FFC0C0C0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rgb="FFC0C0C0"/>
        </left>
        <right style="thin">
          <color rgb="FFC0C0C0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  <border diagonalUp="0" diagonalDown="0" outline="0">
        <left style="medium">
          <color rgb="FF1E90FF"/>
        </left>
        <right/>
        <top/>
        <bottom/>
      </border>
    </dxf>
    <dxf>
      <alignment horizontal="left" vertical="center" textRotation="0" wrapText="0" indent="0" justifyLastLine="0" shrinkToFit="0" readingOrder="0"/>
    </dxf>
    <dxf>
      <border outline="0">
        <bottom style="medium">
          <color rgb="FF1E90FF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color rgb="FF969696"/>
      </font>
      <fill>
        <patternFill>
          <bgColor rgb="FFF0F0F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FFFFFF"/>
      </font>
      <fill>
        <patternFill>
          <bgColor rgb="FFFF4500"/>
        </patternFill>
      </fill>
    </dxf>
    <dxf>
      <font>
        <b val="0"/>
        <i val="0"/>
        <color rgb="FFFFFFFF"/>
      </font>
      <fill>
        <patternFill>
          <bgColor rgb="FF00B050"/>
        </patternFill>
      </fill>
    </dxf>
    <dxf>
      <font>
        <b val="0"/>
        <i val="0"/>
        <color rgb="FF969696"/>
      </font>
      <fill>
        <patternFill>
          <bgColor rgb="FFF0F0F0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rgb="FF1E90FF"/>
        </right>
        <top style="thin">
          <color rgb="FFC0C0C0"/>
        </top>
        <bottom style="thin">
          <color rgb="FFC0C0C0"/>
        </bottom>
        <vertical/>
        <horizontal style="thin">
          <color rgb="FFC0C0C0"/>
        </horizontal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/>
        <horizontal style="thin">
          <color rgb="FFC0C0C0"/>
        </horizontal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C0C0C0"/>
        </top>
        <bottom style="thin">
          <color rgb="FFC0C0C0"/>
        </bottom>
        <vertical/>
        <horizontal style="thin">
          <color rgb="FFC0C0C0"/>
        </horizontal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C0C0C0"/>
        </left>
        <right/>
        <top style="thin">
          <color rgb="FFC0C0C0"/>
        </top>
        <bottom style="thin">
          <color rgb="FFC0C0C0"/>
        </bottom>
        <vertical/>
        <horizontal style="thin">
          <color rgb="FFC0C0C0"/>
        </horizontal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rgb="FFC0C0C0"/>
        </left>
        <right style="thin">
          <color rgb="FFC0C0C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medium">
          <color rgb="FF1E90FF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.5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rgb="FF1E90FF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color rgb="FF969696"/>
      </font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FFFFFF"/>
      </font>
      <fill>
        <patternFill>
          <bgColor rgb="FF00B050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color rgb="FF969696"/>
      </font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FFFFFF"/>
      </font>
      <fill>
        <patternFill>
          <bgColor rgb="FF00B050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border>
        <bottom style="medium">
          <color rgb="FF1E90FF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color rgb="FF969696"/>
      </font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FFFFFF"/>
      </font>
      <fill>
        <patternFill>
          <bgColor rgb="FF00B050"/>
        </patternFill>
      </fill>
    </dxf>
    <dxf>
      <fill>
        <patternFill>
          <bgColor rgb="FFFFFFE0"/>
        </patternFill>
      </fill>
    </dxf>
    <dxf>
      <fill>
        <patternFill>
          <bgColor rgb="FFFFFFE0"/>
        </patternFill>
      </fill>
    </dxf>
    <dxf>
      <font>
        <color rgb="FF969696"/>
      </font>
      <fill>
        <patternFill>
          <bgColor rgb="FFF0F0F0"/>
        </patternFill>
      </fill>
    </dxf>
    <dxf>
      <font>
        <color rgb="FFC00000"/>
      </font>
      <fill>
        <patternFill>
          <bgColor rgb="FFFFF0F5"/>
        </patternFill>
      </fill>
    </dxf>
    <dxf>
      <font>
        <color rgb="FF00B050"/>
      </font>
      <fill>
        <patternFill>
          <bgColor rgb="FFF5FFFA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1E90FF"/>
        </patternFill>
      </fill>
    </dxf>
    <dxf>
      <font>
        <b/>
        <i val="0"/>
        <color rgb="FFFFFFFF"/>
      </font>
      <fill>
        <patternFill>
          <bgColor rgb="FF1E90FF"/>
        </patternFill>
      </fill>
    </dxf>
    <dxf>
      <font>
        <b/>
        <i val="0"/>
        <color rgb="FFFFFFFF"/>
      </font>
      <fill>
        <patternFill>
          <bgColor rgb="FF3CB371"/>
        </patternFill>
      </fill>
    </dxf>
  </dxfs>
  <tableStyles count="3" defaultTableStyle="TableStyleMedium2" defaultPivotStyle="PivotStyleLight16">
    <tableStyle name="DB STYLE" pivot="0" count="1" xr9:uid="{27438F26-90C7-4F98-BB3F-CC4E646BB776}">
      <tableStyleElement type="headerRow" dxfId="133"/>
    </tableStyle>
    <tableStyle name="DBB STYLE" pivot="0" count="1" xr9:uid="{820F86D8-6E47-43CE-AE5B-CAB7E460B600}">
      <tableStyleElement type="headerRow" dxfId="132"/>
    </tableStyle>
    <tableStyle name="Simple Table" pivot="0" count="1" xr9:uid="{0B404F53-EE2C-4E04-ABC1-C59FCE724229}">
      <tableStyleElement type="headerRow" dxfId="131"/>
    </tableStyle>
  </tableStyles>
  <colors>
    <mruColors>
      <color rgb="FF4472C4"/>
      <color rgb="FF3CB371"/>
      <color rgb="FF1E9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342900</xdr:colOff>
      <xdr:row>4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D7408B-2153-46EC-BEF9-E872DFE9AE6A}"/>
            </a:ext>
          </a:extLst>
        </xdr:cNvPr>
        <xdr:cNvGrpSpPr>
          <a:grpSpLocks noChangeAspect="1"/>
        </xdr:cNvGrpSpPr>
      </xdr:nvGrpSpPr>
      <xdr:grpSpPr>
        <a:xfrm>
          <a:off x="0" y="0"/>
          <a:ext cx="2171700" cy="733425"/>
          <a:chOff x="9954113" y="47448"/>
          <a:chExt cx="2146912" cy="766733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328B7C8C-958B-298C-014D-765E177812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401354D4-CFEB-BEAB-30F4-FADD664303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E8B209E4-D64E-45D4-1675-13AD91B32A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692926</xdr:colOff>
      <xdr:row>2</xdr:row>
      <xdr:rowOff>142875</xdr:rowOff>
    </xdr:from>
    <xdr:to>
      <xdr:col>5</xdr:col>
      <xdr:colOff>2390775</xdr:colOff>
      <xdr:row>8</xdr:row>
      <xdr:rowOff>85725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1902691-308B-3EE1-C509-619111C28202}"/>
            </a:ext>
          </a:extLst>
        </xdr:cNvPr>
        <xdr:cNvGrpSpPr/>
      </xdr:nvGrpSpPr>
      <xdr:grpSpPr>
        <a:xfrm>
          <a:off x="6865126" y="504825"/>
          <a:ext cx="1697849" cy="914400"/>
          <a:chOff x="6912751" y="466725"/>
          <a:chExt cx="1697849" cy="9144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8B13CAC-1D50-2A7F-C530-3744E7F2C4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6200" y="466725"/>
            <a:ext cx="914400" cy="914400"/>
          </a:xfrm>
          <a:prstGeom prst="rect">
            <a:avLst/>
          </a:prstGeom>
        </xdr:spPr>
      </xdr:pic>
      <xdr:pic>
        <xdr:nvPicPr>
          <xdr:cNvPr id="5" name="Graphic 4">
            <a:extLst>
              <a:ext uri="{FF2B5EF4-FFF2-40B4-BE49-F238E27FC236}">
                <a16:creationId xmlns:a16="http://schemas.microsoft.com/office/drawing/2014/main" id="{DD9C14E5-EB92-7496-5DA2-C363C4AF6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912751" y="597675"/>
            <a:ext cx="753872" cy="57607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2</xdr:row>
      <xdr:rowOff>95250</xdr:rowOff>
    </xdr:from>
    <xdr:to>
      <xdr:col>5</xdr:col>
      <xdr:colOff>2440799</xdr:colOff>
      <xdr:row>8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A84ED65-2F22-4C6A-A8FE-F293232B7128}"/>
            </a:ext>
          </a:extLst>
        </xdr:cNvPr>
        <xdr:cNvGrpSpPr/>
      </xdr:nvGrpSpPr>
      <xdr:grpSpPr>
        <a:xfrm>
          <a:off x="6915150" y="457200"/>
          <a:ext cx="1697849" cy="914400"/>
          <a:chOff x="6912751" y="466725"/>
          <a:chExt cx="1697849" cy="914400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FEC1F69E-CA45-7F08-BC88-3DB142C0B3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6200" y="466725"/>
            <a:ext cx="914400" cy="914400"/>
          </a:xfrm>
          <a:prstGeom prst="rect">
            <a:avLst/>
          </a:prstGeom>
        </xdr:spPr>
      </xdr:pic>
      <xdr:pic>
        <xdr:nvPicPr>
          <xdr:cNvPr id="11" name="Graphic 10">
            <a:extLst>
              <a:ext uri="{FF2B5EF4-FFF2-40B4-BE49-F238E27FC236}">
                <a16:creationId xmlns:a16="http://schemas.microsoft.com/office/drawing/2014/main" id="{6EB8AB92-6BD7-AFC9-4162-288000E30F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912751" y="597675"/>
            <a:ext cx="753872" cy="576072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101600</xdr:colOff>
      <xdr:row>0</xdr:row>
      <xdr:rowOff>0</xdr:rowOff>
    </xdr:from>
    <xdr:to>
      <xdr:col>5</xdr:col>
      <xdr:colOff>2273300</xdr:colOff>
      <xdr:row>4</xdr:row>
      <xdr:rowOff>9525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56569F7-3433-4C10-9CE5-3C241C324386}"/>
            </a:ext>
          </a:extLst>
        </xdr:cNvPr>
        <xdr:cNvGrpSpPr>
          <a:grpSpLocks noChangeAspect="1"/>
        </xdr:cNvGrpSpPr>
      </xdr:nvGrpSpPr>
      <xdr:grpSpPr>
        <a:xfrm>
          <a:off x="6273800" y="0"/>
          <a:ext cx="2171700" cy="733425"/>
          <a:chOff x="9954113" y="47448"/>
          <a:chExt cx="2146912" cy="766733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C881970E-6984-3164-E370-011AD7A3E3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ED638CB0-D9C1-FD14-8EDC-F6FE5258E8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110372FB-B8DB-9CE4-8C6B-F140407891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101600</xdr:colOff>
      <xdr:row>0</xdr:row>
      <xdr:rowOff>0</xdr:rowOff>
    </xdr:from>
    <xdr:to>
      <xdr:col>5</xdr:col>
      <xdr:colOff>2273300</xdr:colOff>
      <xdr:row>4</xdr:row>
      <xdr:rowOff>9525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955A2BF-6CF5-4A54-BE55-955376346B1A}"/>
            </a:ext>
          </a:extLst>
        </xdr:cNvPr>
        <xdr:cNvGrpSpPr>
          <a:grpSpLocks noChangeAspect="1"/>
        </xdr:cNvGrpSpPr>
      </xdr:nvGrpSpPr>
      <xdr:grpSpPr>
        <a:xfrm>
          <a:off x="6273800" y="0"/>
          <a:ext cx="2171700" cy="733425"/>
          <a:chOff x="9954113" y="47448"/>
          <a:chExt cx="2146912" cy="766733"/>
        </a:xfrm>
      </xdr:grpSpPr>
      <xdr:pic>
        <xdr:nvPicPr>
          <xdr:cNvPr id="11" name="Graphic 10">
            <a:extLst>
              <a:ext uri="{FF2B5EF4-FFF2-40B4-BE49-F238E27FC236}">
                <a16:creationId xmlns:a16="http://schemas.microsoft.com/office/drawing/2014/main" id="{16BB8102-38CF-FE91-7AE4-93B481BD5F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12" name="Graphic 11">
            <a:extLst>
              <a:ext uri="{FF2B5EF4-FFF2-40B4-BE49-F238E27FC236}">
                <a16:creationId xmlns:a16="http://schemas.microsoft.com/office/drawing/2014/main" id="{C625D9D7-8D87-7D1D-81C2-30F16F7EF2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E0646F9C-4FE7-9E8F-5850-8FA923806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3D7BF7-AF80-4669-B593-426AEF86C6DA}" name="BCOES" displayName="BCOES" ref="A13:F107" totalsRowShown="0" headerRowDxfId="116" dataDxfId="0" headerRowBorderDxfId="115">
  <autoFilter ref="A13:F107" xr:uid="{083D7BF7-AF80-4669-B593-426AEF86C6DA}"/>
  <tableColumns count="6">
    <tableColumn id="1" xr3:uid="{7CDB9EDB-7CF6-422D-A4C5-BAF93B7E9E7B}" name="Category" dataDxfId="6"/>
    <tableColumn id="2" xr3:uid="{59F9443E-7E80-48D9-8882-338B5CBCF155}" name="Topic" dataDxfId="5"/>
    <tableColumn id="7" xr3:uid="{64058986-C0E8-403B-992A-7F7766487642}" name="ID" dataDxfId="4"/>
    <tableColumn id="3" xr3:uid="{58AD4512-6332-4727-9676-C18A199ADB1B}" name="Item" dataDxfId="3"/>
    <tableColumn id="4" xr3:uid="{B310AA84-6CF6-4741-A67B-4119E0FF4165}" name="Status" dataDxfId="2"/>
    <tableColumn id="6" xr3:uid="{0CDE1E31-F101-445B-B10F-3E12BE49413C}" name="Comment" dataDxfId="1"/>
  </tableColumns>
  <tableStyleInfo name="DBB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8F910E-DAF7-4D70-9B67-5F3B19E683AA}" name="BCOES3" displayName="BCOES3" ref="A13:F61" totalsRowShown="0" headerRowDxfId="49" dataDxfId="47" headerRowBorderDxfId="48">
  <autoFilter ref="A13:F61" xr:uid="{083D7BF7-AF80-4669-B593-426AEF86C6DA}"/>
  <tableColumns count="6">
    <tableColumn id="1" xr3:uid="{32A037E3-67AD-4F75-A35D-893FBA523E4F}" name="Category" dataDxfId="46"/>
    <tableColumn id="2" xr3:uid="{BCDC790C-AA3A-4470-AB68-C90A09ED791A}" name="Topic" dataDxfId="45"/>
    <tableColumn id="7" xr3:uid="{B8D8C16B-C9AE-4C74-BBAB-818F0E7F4E99}" name="ID" dataDxfId="44"/>
    <tableColumn id="3" xr3:uid="{ADC3E8CF-98AC-43C3-BE0C-B86526758746}" name="Item" dataDxfId="43"/>
    <tableColumn id="4" xr3:uid="{B13D91D2-AD84-48AC-B864-B69095DDC8E9}" name="Status" dataDxfId="42"/>
    <tableColumn id="6" xr3:uid="{DA968AE3-779A-4667-8030-D5D52820C306}" name="Comment" dataDxfId="41"/>
  </tableColumns>
  <tableStyleInfo name="DB 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670E4A-4861-4ECB-89B8-16A9C0ABA397}" name="ReviewList1" displayName="ReviewList1_" ref="A14:F15" insertRow="1" totalsRowShown="0" headerRowDxfId="32" dataDxfId="30" headerRowBorderDxfId="31">
  <autoFilter ref="A14:F15" xr:uid="{8A670E4A-4861-4ECB-89B8-16A9C0ABA397}"/>
  <tableColumns count="6">
    <tableColumn id="1" xr3:uid="{2C0B06D0-DFB1-4615-B7FC-588D4343FA04}" name="Category" dataDxfId="29"/>
    <tableColumn id="2" xr3:uid="{5C97E37A-9529-472C-A88D-E446F0AF0652}" name="Topic" dataDxfId="28"/>
    <tableColumn id="3" xr3:uid="{6774F32A-C331-468C-A987-85E8715EB720}" name="ID" dataDxfId="27"/>
    <tableColumn id="4" xr3:uid="{D3B9DB51-917C-4244-93E9-F18EB6F7E96A}" name="Item" dataDxfId="26"/>
    <tableColumn id="5" xr3:uid="{9265C425-B844-47EB-BB6C-5A1CC0869B10}" name="Status" dataDxfId="25"/>
    <tableColumn id="6" xr3:uid="{90B20DEC-F7E0-48DB-87AF-D0FC70EF611C}" name="Comment" dataDxfId="24"/>
  </tableColumns>
  <tableStyleInfo name="Simple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2371D7-B8DD-4AE4-920E-AD4D652B4571}" name="ReviewList1" displayName="ReviewList1" ref="A14:F15" insertRow="1" totalsRowShown="0" headerRowDxfId="15" dataDxfId="13" headerRowBorderDxfId="14">
  <autoFilter ref="A14:F15" xr:uid="{F22371D7-B8DD-4AE4-920E-AD4D652B4571}"/>
  <tableColumns count="6">
    <tableColumn id="1" xr3:uid="{512AD616-AB1A-4324-8F87-4F694BBB0444}" name="Category" dataDxfId="12"/>
    <tableColumn id="2" xr3:uid="{AAB9339A-DDF8-42CB-A257-DA951D256EB5}" name="Topic" dataDxfId="11"/>
    <tableColumn id="3" xr3:uid="{C7ED25E6-D27D-4ABC-9EB8-6C6DBCC3BC2C}" name="ID" dataDxfId="10"/>
    <tableColumn id="4" xr3:uid="{3D5607D7-4E97-4D3D-A7C2-4FFC5CD29548}" name="Item" dataDxfId="9"/>
    <tableColumn id="5" xr3:uid="{61391D9F-3ED9-45B5-AF95-E2EF05913C45}" name="Status" dataDxfId="8"/>
    <tableColumn id="6" xr3:uid="{F97152DA-27D7-4189-9BE9-C6AF6BD47E59}" name="Comment" dataDxfId="7"/>
  </tableColumns>
  <tableStyleInfo name="Simple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CC196-465E-4E87-B88A-452DB309249B}">
  <sheetPr codeName="Sheet1"/>
  <dimension ref="A1"/>
  <sheetViews>
    <sheetView showGridLines="0" workbookViewId="0">
      <selection activeCell="Q8" sqref="Q8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B65-E950-45C3-92E2-2DB719CA1667}">
  <sheetPr codeName="Sheet2"/>
  <dimension ref="C3:I19"/>
  <sheetViews>
    <sheetView showGridLines="0" workbookViewId="0">
      <selection activeCell="M19" sqref="M19"/>
    </sheetView>
  </sheetViews>
  <sheetFormatPr defaultRowHeight="12.75" x14ac:dyDescent="0.2"/>
  <cols>
    <col min="1" max="2" width="9.140625" style="13"/>
    <col min="3" max="3" width="19" style="13" customWidth="1"/>
    <col min="4" max="16384" width="9.140625" style="13"/>
  </cols>
  <sheetData>
    <row r="3" spans="3:9" x14ac:dyDescent="0.2">
      <c r="C3" s="14" t="s">
        <v>86</v>
      </c>
      <c r="D3" s="14" t="s">
        <v>87</v>
      </c>
    </row>
    <row r="4" spans="3:9" x14ac:dyDescent="0.2">
      <c r="C4" s="13" t="s">
        <v>76</v>
      </c>
      <c r="D4" s="13">
        <v>15</v>
      </c>
    </row>
    <row r="5" spans="3:9" x14ac:dyDescent="0.2">
      <c r="C5" s="13" t="s">
        <v>79</v>
      </c>
      <c r="D5" s="13">
        <v>8</v>
      </c>
    </row>
    <row r="6" spans="3:9" x14ac:dyDescent="0.2">
      <c r="C6" s="13" t="s">
        <v>78</v>
      </c>
      <c r="D6" s="13">
        <v>3</v>
      </c>
    </row>
    <row r="7" spans="3:9" x14ac:dyDescent="0.2">
      <c r="C7" s="13" t="s">
        <v>77</v>
      </c>
    </row>
    <row r="12" spans="3:9" x14ac:dyDescent="0.2">
      <c r="D12" s="14" t="s">
        <v>88</v>
      </c>
    </row>
    <row r="13" spans="3:9" x14ac:dyDescent="0.2">
      <c r="C13" s="14" t="s">
        <v>89</v>
      </c>
      <c r="D13" s="15" t="s">
        <v>71</v>
      </c>
      <c r="E13" s="16" t="s">
        <v>75</v>
      </c>
      <c r="F13" s="16" t="s">
        <v>74</v>
      </c>
      <c r="G13" s="16" t="s">
        <v>78</v>
      </c>
      <c r="H13" s="16" t="s">
        <v>73</v>
      </c>
      <c r="I13" s="17" t="s">
        <v>72</v>
      </c>
    </row>
    <row r="14" spans="3:9" x14ac:dyDescent="0.2">
      <c r="C14" s="15" t="s">
        <v>70</v>
      </c>
      <c r="D14" s="20" t="s">
        <v>80</v>
      </c>
      <c r="E14" s="18">
        <v>1</v>
      </c>
      <c r="F14" s="18">
        <v>2</v>
      </c>
      <c r="G14" s="18">
        <v>3</v>
      </c>
      <c r="H14" s="18">
        <v>4</v>
      </c>
      <c r="I14" s="19">
        <v>5</v>
      </c>
    </row>
    <row r="15" spans="3:9" x14ac:dyDescent="0.2">
      <c r="C15" s="21" t="s">
        <v>81</v>
      </c>
      <c r="D15" s="22">
        <v>5</v>
      </c>
      <c r="E15" s="24">
        <f>$D15*E$14</f>
        <v>5</v>
      </c>
      <c r="F15" s="25">
        <f t="shared" ref="F15:I19" si="0">$D15*F$14</f>
        <v>10</v>
      </c>
      <c r="G15" s="25">
        <f t="shared" si="0"/>
        <v>15</v>
      </c>
      <c r="H15" s="25">
        <f t="shared" si="0"/>
        <v>20</v>
      </c>
      <c r="I15" s="26">
        <f t="shared" si="0"/>
        <v>25</v>
      </c>
    </row>
    <row r="16" spans="3:9" x14ac:dyDescent="0.2">
      <c r="C16" s="21" t="s">
        <v>82</v>
      </c>
      <c r="D16" s="22">
        <v>4</v>
      </c>
      <c r="E16" s="21">
        <f t="shared" ref="E16:E19" si="1">$D16*E$14</f>
        <v>4</v>
      </c>
      <c r="F16" s="27">
        <f t="shared" si="0"/>
        <v>8</v>
      </c>
      <c r="G16" s="27">
        <f t="shared" si="0"/>
        <v>12</v>
      </c>
      <c r="H16" s="27">
        <f t="shared" si="0"/>
        <v>16</v>
      </c>
      <c r="I16" s="22">
        <f t="shared" si="0"/>
        <v>20</v>
      </c>
    </row>
    <row r="17" spans="3:9" x14ac:dyDescent="0.2">
      <c r="C17" s="21" t="s">
        <v>83</v>
      </c>
      <c r="D17" s="22">
        <v>3</v>
      </c>
      <c r="E17" s="21">
        <f t="shared" si="1"/>
        <v>3</v>
      </c>
      <c r="F17" s="27">
        <f t="shared" si="0"/>
        <v>6</v>
      </c>
      <c r="G17" s="27">
        <f t="shared" si="0"/>
        <v>9</v>
      </c>
      <c r="H17" s="27">
        <f t="shared" si="0"/>
        <v>12</v>
      </c>
      <c r="I17" s="22">
        <f t="shared" si="0"/>
        <v>15</v>
      </c>
    </row>
    <row r="18" spans="3:9" x14ac:dyDescent="0.2">
      <c r="C18" s="21" t="s">
        <v>84</v>
      </c>
      <c r="D18" s="22">
        <v>2</v>
      </c>
      <c r="E18" s="21">
        <f t="shared" si="1"/>
        <v>2</v>
      </c>
      <c r="F18" s="27">
        <f t="shared" si="0"/>
        <v>4</v>
      </c>
      <c r="G18" s="27">
        <f t="shared" si="0"/>
        <v>6</v>
      </c>
      <c r="H18" s="27">
        <f t="shared" si="0"/>
        <v>8</v>
      </c>
      <c r="I18" s="22">
        <f t="shared" si="0"/>
        <v>10</v>
      </c>
    </row>
    <row r="19" spans="3:9" x14ac:dyDescent="0.2">
      <c r="C19" s="23" t="s">
        <v>85</v>
      </c>
      <c r="D19" s="19">
        <v>1</v>
      </c>
      <c r="E19" s="23">
        <f t="shared" si="1"/>
        <v>1</v>
      </c>
      <c r="F19" s="18">
        <f t="shared" si="0"/>
        <v>2</v>
      </c>
      <c r="G19" s="18">
        <f t="shared" si="0"/>
        <v>3</v>
      </c>
      <c r="H19" s="18">
        <f t="shared" si="0"/>
        <v>4</v>
      </c>
      <c r="I19" s="19">
        <f t="shared" si="0"/>
        <v>5</v>
      </c>
    </row>
  </sheetData>
  <conditionalFormatting sqref="E15:I19">
    <cfRule type="expression" dxfId="130" priority="1" stopIfTrue="1">
      <formula>IF(E15&gt;$D$4,TRUE,FALSE)</formula>
    </cfRule>
    <cfRule type="expression" dxfId="129" priority="2" stopIfTrue="1">
      <formula>IF(E15&gt;$D$5,TRUE,FALSE)</formula>
    </cfRule>
    <cfRule type="expression" dxfId="128" priority="3" stopIfTrue="1">
      <formula>IF(E15&gt;$D$6,TRUE,FALSE)</formula>
    </cfRule>
    <cfRule type="expression" dxfId="127" priority="4" stopIfTrue="1">
      <formula>IF(E15&lt;=$D$6,TRUE,FALSE)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F187F-ADCC-453C-92AA-E5C692CFC581}">
  <sheetPr codeName="Sheet3"/>
  <dimension ref="A1:F107"/>
  <sheetViews>
    <sheetView showGridLines="0" workbookViewId="0">
      <selection activeCell="D16" sqref="D16"/>
    </sheetView>
  </sheetViews>
  <sheetFormatPr defaultRowHeight="12.75" x14ac:dyDescent="0.2"/>
  <cols>
    <col min="1" max="1" width="15.7109375" style="2" customWidth="1"/>
    <col min="2" max="2" width="20.7109375" style="1" customWidth="1"/>
    <col min="3" max="3" width="5.7109375" style="1" customWidth="1"/>
    <col min="4" max="4" width="40.7109375" style="1" customWidth="1"/>
    <col min="5" max="5" width="9.7109375" style="2" customWidth="1"/>
    <col min="6" max="6" width="36.7109375" style="2" customWidth="1"/>
    <col min="7" max="16384" width="9.140625" style="2"/>
  </cols>
  <sheetData>
    <row r="1" spans="1:6" ht="15.75" x14ac:dyDescent="0.25">
      <c r="A1" s="7" t="s">
        <v>154</v>
      </c>
      <c r="F1" s="28" t="s">
        <v>156</v>
      </c>
    </row>
    <row r="2" spans="1:6" x14ac:dyDescent="0.2">
      <c r="A2" s="5" t="s">
        <v>4</v>
      </c>
      <c r="F2" s="28" t="s">
        <v>90</v>
      </c>
    </row>
    <row r="3" spans="1:6" x14ac:dyDescent="0.2">
      <c r="A3" s="5"/>
    </row>
    <row r="4" spans="1:6" x14ac:dyDescent="0.2">
      <c r="A4" s="6" t="s">
        <v>0</v>
      </c>
      <c r="B4" s="9"/>
      <c r="C4" s="9"/>
    </row>
    <row r="5" spans="1:6" x14ac:dyDescent="0.2">
      <c r="A5" s="6" t="s">
        <v>1</v>
      </c>
      <c r="B5" s="10"/>
      <c r="C5" s="10"/>
    </row>
    <row r="6" spans="1:6" x14ac:dyDescent="0.2">
      <c r="A6" s="6" t="s">
        <v>7</v>
      </c>
      <c r="B6" s="10"/>
      <c r="C6" s="10"/>
    </row>
    <row r="7" spans="1:6" x14ac:dyDescent="0.2">
      <c r="A7" s="6" t="s">
        <v>8</v>
      </c>
      <c r="B7" s="11"/>
      <c r="C7" s="11"/>
    </row>
    <row r="8" spans="1:6" x14ac:dyDescent="0.2">
      <c r="A8" s="5"/>
    </row>
    <row r="9" spans="1:6" x14ac:dyDescent="0.2">
      <c r="A9" s="6" t="s">
        <v>2</v>
      </c>
      <c r="B9" s="9"/>
      <c r="C9" s="9"/>
    </row>
    <row r="10" spans="1:6" x14ac:dyDescent="0.2">
      <c r="A10" s="6" t="s">
        <v>3</v>
      </c>
      <c r="B10" s="8"/>
      <c r="C10" s="10"/>
    </row>
    <row r="11" spans="1:6" x14ac:dyDescent="0.2">
      <c r="A11" s="6" t="s">
        <v>16</v>
      </c>
      <c r="B11" s="12"/>
      <c r="C11" s="11"/>
      <c r="F11" s="28"/>
    </row>
    <row r="12" spans="1:6" x14ac:dyDescent="0.2">
      <c r="A12" s="103" t="s">
        <v>16</v>
      </c>
      <c r="B12" s="104">
        <v>45309.490266203706</v>
      </c>
    </row>
    <row r="13" spans="1:6" ht="19.5" customHeight="1" thickBot="1" x14ac:dyDescent="0.25">
      <c r="A13" s="3" t="s">
        <v>5</v>
      </c>
      <c r="B13" s="3" t="s">
        <v>9</v>
      </c>
      <c r="C13" s="3" t="s">
        <v>14</v>
      </c>
      <c r="D13" s="3" t="s">
        <v>11</v>
      </c>
      <c r="E13" s="4" t="s">
        <v>15</v>
      </c>
      <c r="F13" s="4" t="s">
        <v>13</v>
      </c>
    </row>
    <row r="14" spans="1:6" ht="24" x14ac:dyDescent="0.2">
      <c r="A14" s="82" t="s">
        <v>6</v>
      </c>
      <c r="B14" s="83" t="s">
        <v>30</v>
      </c>
      <c r="C14" s="84">
        <v>1</v>
      </c>
      <c r="D14" s="85" t="s">
        <v>28</v>
      </c>
      <c r="E14" s="86"/>
      <c r="F14" s="87"/>
    </row>
    <row r="15" spans="1:6" ht="24" x14ac:dyDescent="0.2">
      <c r="A15" s="88"/>
      <c r="B15" s="89"/>
      <c r="C15" s="90">
        <v>2</v>
      </c>
      <c r="D15" s="91" t="s">
        <v>29</v>
      </c>
      <c r="E15" s="92"/>
      <c r="F15" s="93"/>
    </row>
    <row r="16" spans="1:6" ht="24" x14ac:dyDescent="0.2">
      <c r="A16" s="88"/>
      <c r="B16" s="89"/>
      <c r="C16" s="90">
        <v>3</v>
      </c>
      <c r="D16" s="91" t="s">
        <v>117</v>
      </c>
      <c r="E16" s="92"/>
      <c r="F16" s="93" t="s">
        <v>118</v>
      </c>
    </row>
    <row r="17" spans="1:6" ht="24" x14ac:dyDescent="0.2">
      <c r="A17" s="88"/>
      <c r="B17" s="94" t="s">
        <v>32</v>
      </c>
      <c r="C17" s="90">
        <v>4</v>
      </c>
      <c r="D17" s="91" t="s">
        <v>33</v>
      </c>
      <c r="E17" s="92"/>
      <c r="F17" s="93"/>
    </row>
    <row r="18" spans="1:6" x14ac:dyDescent="0.2">
      <c r="A18" s="88"/>
      <c r="B18" s="89"/>
      <c r="C18" s="90">
        <v>5</v>
      </c>
      <c r="D18" s="91" t="s">
        <v>34</v>
      </c>
      <c r="E18" s="92"/>
      <c r="F18" s="93"/>
    </row>
    <row r="19" spans="1:6" ht="36" x14ac:dyDescent="0.2">
      <c r="A19" s="88"/>
      <c r="B19" s="89"/>
      <c r="C19" s="90">
        <v>6</v>
      </c>
      <c r="D19" s="91" t="s">
        <v>45</v>
      </c>
      <c r="E19" s="92"/>
      <c r="F19" s="93"/>
    </row>
    <row r="20" spans="1:6" ht="24" x14ac:dyDescent="0.2">
      <c r="A20" s="88"/>
      <c r="B20" s="94" t="s">
        <v>31</v>
      </c>
      <c r="C20" s="90">
        <v>7</v>
      </c>
      <c r="D20" s="91" t="s">
        <v>48</v>
      </c>
      <c r="E20" s="92"/>
      <c r="F20" s="93"/>
    </row>
    <row r="21" spans="1:6" ht="48" x14ac:dyDescent="0.2">
      <c r="A21" s="88"/>
      <c r="B21" s="89"/>
      <c r="C21" s="90">
        <v>8</v>
      </c>
      <c r="D21" s="91" t="s">
        <v>43</v>
      </c>
      <c r="E21" s="92"/>
      <c r="F21" s="93"/>
    </row>
    <row r="22" spans="1:6" ht="24" x14ac:dyDescent="0.2">
      <c r="A22" s="88"/>
      <c r="B22" s="89"/>
      <c r="C22" s="90">
        <v>9</v>
      </c>
      <c r="D22" s="91" t="s">
        <v>153</v>
      </c>
      <c r="E22" s="92"/>
      <c r="F22" s="93"/>
    </row>
    <row r="23" spans="1:6" ht="48" x14ac:dyDescent="0.2">
      <c r="A23" s="88"/>
      <c r="B23" s="94" t="s">
        <v>10</v>
      </c>
      <c r="C23" s="90">
        <v>10</v>
      </c>
      <c r="D23" s="91" t="s">
        <v>219</v>
      </c>
      <c r="E23" s="92"/>
      <c r="F23" s="93"/>
    </row>
    <row r="24" spans="1:6" ht="48" x14ac:dyDescent="0.2">
      <c r="A24" s="88"/>
      <c r="B24" s="89"/>
      <c r="C24" s="90">
        <v>11</v>
      </c>
      <c r="D24" s="91" t="s">
        <v>220</v>
      </c>
      <c r="E24" s="92"/>
      <c r="F24" s="93"/>
    </row>
    <row r="25" spans="1:6" ht="24" x14ac:dyDescent="0.2">
      <c r="A25" s="88"/>
      <c r="B25" s="89"/>
      <c r="C25" s="90">
        <v>12</v>
      </c>
      <c r="D25" s="91" t="s">
        <v>47</v>
      </c>
      <c r="E25" s="92"/>
      <c r="F25" s="93"/>
    </row>
    <row r="26" spans="1:6" ht="48" x14ac:dyDescent="0.2">
      <c r="A26" s="88"/>
      <c r="B26" s="89"/>
      <c r="C26" s="90">
        <v>13</v>
      </c>
      <c r="D26" s="91" t="s">
        <v>36</v>
      </c>
      <c r="E26" s="92"/>
      <c r="F26" s="93"/>
    </row>
    <row r="27" spans="1:6" ht="48" x14ac:dyDescent="0.2">
      <c r="A27" s="88"/>
      <c r="B27" s="89"/>
      <c r="C27" s="90">
        <v>14</v>
      </c>
      <c r="D27" s="91" t="s">
        <v>42</v>
      </c>
      <c r="E27" s="92"/>
      <c r="F27" s="93"/>
    </row>
    <row r="28" spans="1:6" ht="48" x14ac:dyDescent="0.2">
      <c r="A28" s="88"/>
      <c r="B28" s="89"/>
      <c r="C28" s="90">
        <v>15</v>
      </c>
      <c r="D28" s="91" t="s">
        <v>147</v>
      </c>
      <c r="E28" s="92"/>
      <c r="F28" s="93"/>
    </row>
    <row r="29" spans="1:6" ht="24" x14ac:dyDescent="0.2">
      <c r="A29" s="88"/>
      <c r="B29" s="89"/>
      <c r="C29" s="90">
        <v>16</v>
      </c>
      <c r="D29" s="91" t="s">
        <v>37</v>
      </c>
      <c r="E29" s="92"/>
      <c r="F29" s="93"/>
    </row>
    <row r="30" spans="1:6" ht="84" x14ac:dyDescent="0.2">
      <c r="A30" s="88"/>
      <c r="B30" s="89"/>
      <c r="C30" s="90">
        <v>17</v>
      </c>
      <c r="D30" s="91" t="s">
        <v>44</v>
      </c>
      <c r="E30" s="92"/>
      <c r="F30" s="93"/>
    </row>
    <row r="31" spans="1:6" ht="48" x14ac:dyDescent="0.2">
      <c r="A31" s="88"/>
      <c r="B31" s="89"/>
      <c r="C31" s="90">
        <v>18</v>
      </c>
      <c r="D31" s="91" t="s">
        <v>46</v>
      </c>
      <c r="E31" s="92"/>
      <c r="F31" s="93"/>
    </row>
    <row r="32" spans="1:6" x14ac:dyDescent="0.2">
      <c r="A32" s="88"/>
      <c r="B32" s="89"/>
      <c r="C32" s="90">
        <v>19</v>
      </c>
      <c r="D32" s="91" t="s">
        <v>100</v>
      </c>
      <c r="E32" s="92"/>
      <c r="F32" s="93"/>
    </row>
    <row r="33" spans="1:6" ht="48" x14ac:dyDescent="0.2">
      <c r="A33" s="88"/>
      <c r="B33" s="89"/>
      <c r="C33" s="90">
        <v>20</v>
      </c>
      <c r="D33" s="91" t="s">
        <v>114</v>
      </c>
      <c r="E33" s="92"/>
      <c r="F33" s="93"/>
    </row>
    <row r="34" spans="1:6" x14ac:dyDescent="0.2">
      <c r="A34" s="88"/>
      <c r="B34" s="94" t="s">
        <v>49</v>
      </c>
      <c r="C34" s="90">
        <v>21</v>
      </c>
      <c r="D34" s="91" t="s">
        <v>50</v>
      </c>
      <c r="E34" s="92"/>
      <c r="F34" s="93"/>
    </row>
    <row r="35" spans="1:6" ht="36" x14ac:dyDescent="0.2">
      <c r="A35" s="88"/>
      <c r="B35" s="89"/>
      <c r="C35" s="90">
        <v>22</v>
      </c>
      <c r="D35" s="91" t="s">
        <v>51</v>
      </c>
      <c r="E35" s="92"/>
      <c r="F35" s="93"/>
    </row>
    <row r="36" spans="1:6" ht="84" x14ac:dyDescent="0.2">
      <c r="A36" s="88"/>
      <c r="B36" s="89"/>
      <c r="C36" s="90">
        <v>23</v>
      </c>
      <c r="D36" s="91" t="s">
        <v>41</v>
      </c>
      <c r="E36" s="92"/>
      <c r="F36" s="93"/>
    </row>
    <row r="37" spans="1:6" ht="36" x14ac:dyDescent="0.2">
      <c r="A37" s="88"/>
      <c r="B37" s="89"/>
      <c r="C37" s="90">
        <v>24</v>
      </c>
      <c r="D37" s="91" t="s">
        <v>40</v>
      </c>
      <c r="E37" s="92"/>
      <c r="F37" s="93"/>
    </row>
    <row r="38" spans="1:6" ht="36" x14ac:dyDescent="0.2">
      <c r="A38" s="88"/>
      <c r="B38" s="94" t="s">
        <v>35</v>
      </c>
      <c r="C38" s="90">
        <v>25</v>
      </c>
      <c r="D38" s="91" t="s">
        <v>17</v>
      </c>
      <c r="E38" s="92"/>
      <c r="F38" s="93"/>
    </row>
    <row r="39" spans="1:6" x14ac:dyDescent="0.2">
      <c r="A39" s="88"/>
      <c r="B39" s="89"/>
      <c r="C39" s="90">
        <v>26</v>
      </c>
      <c r="D39" s="91" t="s">
        <v>20</v>
      </c>
      <c r="E39" s="92"/>
      <c r="F39" s="93"/>
    </row>
    <row r="40" spans="1:6" x14ac:dyDescent="0.2">
      <c r="A40" s="88"/>
      <c r="B40" s="89"/>
      <c r="C40" s="90">
        <v>27</v>
      </c>
      <c r="D40" s="91" t="s">
        <v>18</v>
      </c>
      <c r="E40" s="92"/>
      <c r="F40" s="93"/>
    </row>
    <row r="41" spans="1:6" ht="24" x14ac:dyDescent="0.2">
      <c r="A41" s="88"/>
      <c r="B41" s="89"/>
      <c r="C41" s="90">
        <v>28</v>
      </c>
      <c r="D41" s="91" t="s">
        <v>19</v>
      </c>
      <c r="E41" s="92"/>
      <c r="F41" s="93"/>
    </row>
    <row r="42" spans="1:6" ht="24" x14ac:dyDescent="0.2">
      <c r="A42" s="88"/>
      <c r="B42" s="89"/>
      <c r="C42" s="90">
        <v>29</v>
      </c>
      <c r="D42" s="91" t="s">
        <v>38</v>
      </c>
      <c r="E42" s="92"/>
      <c r="F42" s="93"/>
    </row>
    <row r="43" spans="1:6" x14ac:dyDescent="0.2">
      <c r="A43" s="88"/>
      <c r="B43" s="94" t="s">
        <v>12</v>
      </c>
      <c r="C43" s="90">
        <v>30</v>
      </c>
      <c r="D43" s="91" t="s">
        <v>52</v>
      </c>
      <c r="E43" s="92"/>
      <c r="F43" s="93"/>
    </row>
    <row r="44" spans="1:6" x14ac:dyDescent="0.2">
      <c r="A44" s="88"/>
      <c r="B44" s="89"/>
      <c r="C44" s="90">
        <v>31</v>
      </c>
      <c r="D44" s="91" t="s">
        <v>53</v>
      </c>
      <c r="E44" s="92"/>
      <c r="F44" s="93"/>
    </row>
    <row r="45" spans="1:6" ht="24" x14ac:dyDescent="0.2">
      <c r="A45" s="88"/>
      <c r="B45" s="89"/>
      <c r="C45" s="90">
        <v>32</v>
      </c>
      <c r="D45" s="91" t="s">
        <v>54</v>
      </c>
      <c r="E45" s="92"/>
      <c r="F45" s="93"/>
    </row>
    <row r="46" spans="1:6" ht="24" x14ac:dyDescent="0.2">
      <c r="A46" s="88"/>
      <c r="B46" s="89"/>
      <c r="C46" s="90">
        <v>33</v>
      </c>
      <c r="D46" s="91" t="s">
        <v>27</v>
      </c>
      <c r="E46" s="92"/>
      <c r="F46" s="93"/>
    </row>
    <row r="47" spans="1:6" ht="48" x14ac:dyDescent="0.2">
      <c r="A47" s="88"/>
      <c r="B47" s="89"/>
      <c r="C47" s="90">
        <v>34</v>
      </c>
      <c r="D47" s="91" t="s">
        <v>57</v>
      </c>
      <c r="E47" s="92"/>
      <c r="F47" s="93"/>
    </row>
    <row r="48" spans="1:6" ht="48" x14ac:dyDescent="0.2">
      <c r="A48" s="88"/>
      <c r="B48" s="89"/>
      <c r="C48" s="90">
        <v>35</v>
      </c>
      <c r="D48" s="91" t="s">
        <v>55</v>
      </c>
      <c r="E48" s="92"/>
      <c r="F48" s="93"/>
    </row>
    <row r="49" spans="1:6" ht="24" x14ac:dyDescent="0.2">
      <c r="A49" s="88"/>
      <c r="B49" s="89"/>
      <c r="C49" s="90">
        <v>36</v>
      </c>
      <c r="D49" s="91" t="s">
        <v>56</v>
      </c>
      <c r="E49" s="92"/>
      <c r="F49" s="93"/>
    </row>
    <row r="50" spans="1:6" ht="24" x14ac:dyDescent="0.2">
      <c r="A50" s="88"/>
      <c r="B50" s="89"/>
      <c r="C50" s="90">
        <v>37</v>
      </c>
      <c r="D50" s="91" t="s">
        <v>39</v>
      </c>
      <c r="E50" s="92"/>
      <c r="F50" s="93"/>
    </row>
    <row r="51" spans="1:6" ht="108" x14ac:dyDescent="0.2">
      <c r="A51" s="88"/>
      <c r="B51" s="94" t="s">
        <v>67</v>
      </c>
      <c r="C51" s="90">
        <v>38</v>
      </c>
      <c r="D51" s="91" t="s">
        <v>68</v>
      </c>
      <c r="E51" s="92"/>
      <c r="F51" s="93"/>
    </row>
    <row r="52" spans="1:6" ht="36" x14ac:dyDescent="0.2">
      <c r="A52" s="88"/>
      <c r="B52" s="89"/>
      <c r="C52" s="90">
        <v>39</v>
      </c>
      <c r="D52" s="91" t="s">
        <v>69</v>
      </c>
      <c r="E52" s="92"/>
      <c r="F52" s="93"/>
    </row>
    <row r="53" spans="1:6" ht="24" x14ac:dyDescent="0.2">
      <c r="A53" s="88"/>
      <c r="B53" s="89"/>
      <c r="C53" s="90">
        <v>40</v>
      </c>
      <c r="D53" s="91" t="s">
        <v>120</v>
      </c>
      <c r="E53" s="92"/>
      <c r="F53" s="93"/>
    </row>
    <row r="54" spans="1:6" ht="24" x14ac:dyDescent="0.2">
      <c r="A54" s="88"/>
      <c r="B54" s="94" t="s">
        <v>25</v>
      </c>
      <c r="C54" s="90">
        <v>41</v>
      </c>
      <c r="D54" s="91" t="s">
        <v>21</v>
      </c>
      <c r="E54" s="92"/>
      <c r="F54" s="93"/>
    </row>
    <row r="55" spans="1:6" ht="36" x14ac:dyDescent="0.2">
      <c r="A55" s="88"/>
      <c r="B55" s="89"/>
      <c r="C55" s="90">
        <v>42</v>
      </c>
      <c r="D55" s="91" t="s">
        <v>64</v>
      </c>
      <c r="E55" s="92"/>
      <c r="F55" s="93"/>
    </row>
    <row r="56" spans="1:6" ht="24" x14ac:dyDescent="0.2">
      <c r="A56" s="88"/>
      <c r="B56" s="89"/>
      <c r="C56" s="90">
        <v>43</v>
      </c>
      <c r="D56" s="91" t="s">
        <v>26</v>
      </c>
      <c r="E56" s="92"/>
      <c r="F56" s="93"/>
    </row>
    <row r="57" spans="1:6" ht="24" x14ac:dyDescent="0.2">
      <c r="A57" s="88"/>
      <c r="B57" s="89"/>
      <c r="C57" s="90">
        <v>44</v>
      </c>
      <c r="D57" s="91" t="s">
        <v>66</v>
      </c>
      <c r="E57" s="92"/>
      <c r="F57" s="93"/>
    </row>
    <row r="58" spans="1:6" ht="24" x14ac:dyDescent="0.2">
      <c r="A58" s="88"/>
      <c r="B58" s="94" t="s">
        <v>24</v>
      </c>
      <c r="C58" s="90">
        <v>45</v>
      </c>
      <c r="D58" s="91" t="s">
        <v>23</v>
      </c>
      <c r="E58" s="92"/>
      <c r="F58" s="93"/>
    </row>
    <row r="59" spans="1:6" ht="36" x14ac:dyDescent="0.2">
      <c r="A59" s="88"/>
      <c r="B59" s="89"/>
      <c r="C59" s="90">
        <v>46</v>
      </c>
      <c r="D59" s="91" t="s">
        <v>22</v>
      </c>
      <c r="E59" s="92"/>
      <c r="F59" s="93"/>
    </row>
    <row r="60" spans="1:6" ht="24" x14ac:dyDescent="0.2">
      <c r="A60" s="88"/>
      <c r="B60" s="89"/>
      <c r="C60" s="90">
        <v>47</v>
      </c>
      <c r="D60" s="91" t="s">
        <v>148</v>
      </c>
      <c r="E60" s="92"/>
      <c r="F60" s="93"/>
    </row>
    <row r="61" spans="1:6" ht="36" x14ac:dyDescent="0.2">
      <c r="A61" s="88"/>
      <c r="B61" s="89"/>
      <c r="C61" s="90">
        <v>48</v>
      </c>
      <c r="D61" s="91" t="s">
        <v>149</v>
      </c>
      <c r="E61" s="92"/>
      <c r="F61" s="93"/>
    </row>
    <row r="62" spans="1:6" ht="24" x14ac:dyDescent="0.2">
      <c r="A62" s="88"/>
      <c r="B62" s="94" t="s">
        <v>60</v>
      </c>
      <c r="C62" s="90">
        <v>49</v>
      </c>
      <c r="D62" s="91" t="s">
        <v>63</v>
      </c>
      <c r="E62" s="92"/>
      <c r="F62" s="93"/>
    </row>
    <row r="63" spans="1:6" x14ac:dyDescent="0.2">
      <c r="A63" s="88"/>
      <c r="B63" s="89"/>
      <c r="C63" s="90">
        <v>50</v>
      </c>
      <c r="D63" s="91" t="s">
        <v>61</v>
      </c>
      <c r="E63" s="92"/>
      <c r="F63" s="93"/>
    </row>
    <row r="64" spans="1:6" ht="24" x14ac:dyDescent="0.2">
      <c r="A64" s="88"/>
      <c r="B64" s="89"/>
      <c r="C64" s="90">
        <v>51</v>
      </c>
      <c r="D64" s="91" t="s">
        <v>62</v>
      </c>
      <c r="E64" s="92"/>
      <c r="F64" s="93"/>
    </row>
    <row r="65" spans="1:6" ht="36" x14ac:dyDescent="0.2">
      <c r="A65" s="88"/>
      <c r="B65" s="89"/>
      <c r="C65" s="90">
        <v>52</v>
      </c>
      <c r="D65" s="91" t="s">
        <v>65</v>
      </c>
      <c r="E65" s="92"/>
      <c r="F65" s="93"/>
    </row>
    <row r="66" spans="1:6" ht="36" x14ac:dyDescent="0.2">
      <c r="A66" s="88"/>
      <c r="B66" s="89"/>
      <c r="C66" s="90">
        <v>53</v>
      </c>
      <c r="D66" s="91" t="s">
        <v>101</v>
      </c>
      <c r="E66" s="92"/>
      <c r="F66" s="93" t="s">
        <v>113</v>
      </c>
    </row>
    <row r="67" spans="1:6" ht="24" x14ac:dyDescent="0.2">
      <c r="A67" s="88"/>
      <c r="B67" s="89"/>
      <c r="C67" s="90">
        <v>54</v>
      </c>
      <c r="D67" s="91" t="s">
        <v>102</v>
      </c>
      <c r="E67" s="92"/>
      <c r="F67" s="93"/>
    </row>
    <row r="68" spans="1:6" ht="24" x14ac:dyDescent="0.2">
      <c r="A68" s="95" t="s">
        <v>58</v>
      </c>
      <c r="B68" s="96" t="s">
        <v>103</v>
      </c>
      <c r="C68" s="90">
        <v>55</v>
      </c>
      <c r="D68" s="91" t="s">
        <v>104</v>
      </c>
      <c r="E68" s="92"/>
      <c r="F68" s="93"/>
    </row>
    <row r="69" spans="1:6" ht="39.75" customHeight="1" x14ac:dyDescent="0.2">
      <c r="A69" s="88"/>
      <c r="B69" s="89"/>
      <c r="C69" s="90">
        <v>56</v>
      </c>
      <c r="D69" s="91" t="s">
        <v>105</v>
      </c>
      <c r="E69" s="92"/>
      <c r="F69" s="93"/>
    </row>
    <row r="70" spans="1:6" ht="62.25" customHeight="1" x14ac:dyDescent="0.2">
      <c r="A70" s="88"/>
      <c r="B70" s="89"/>
      <c r="C70" s="90">
        <v>57</v>
      </c>
      <c r="D70" s="91" t="s">
        <v>106</v>
      </c>
      <c r="E70" s="92"/>
      <c r="F70" s="93"/>
    </row>
    <row r="71" spans="1:6" ht="51" customHeight="1" x14ac:dyDescent="0.2">
      <c r="A71" s="88"/>
      <c r="B71" s="89"/>
      <c r="C71" s="90">
        <v>58</v>
      </c>
      <c r="D71" s="91" t="s">
        <v>115</v>
      </c>
      <c r="E71" s="92"/>
      <c r="F71" s="93"/>
    </row>
    <row r="72" spans="1:6" ht="28.5" customHeight="1" x14ac:dyDescent="0.2">
      <c r="A72" s="88"/>
      <c r="B72" s="89"/>
      <c r="C72" s="90">
        <v>59</v>
      </c>
      <c r="D72" s="91" t="s">
        <v>116</v>
      </c>
      <c r="E72" s="92"/>
      <c r="F72" s="93"/>
    </row>
    <row r="73" spans="1:6" ht="18.75" customHeight="1" x14ac:dyDescent="0.2">
      <c r="A73" s="88"/>
      <c r="B73" s="94" t="s">
        <v>91</v>
      </c>
      <c r="C73" s="90">
        <v>60</v>
      </c>
      <c r="D73" s="91" t="s">
        <v>92</v>
      </c>
      <c r="E73" s="92"/>
      <c r="F73" s="93"/>
    </row>
    <row r="74" spans="1:6" ht="28.5" customHeight="1" x14ac:dyDescent="0.2">
      <c r="A74" s="88"/>
      <c r="B74" s="89"/>
      <c r="C74" s="90">
        <v>61</v>
      </c>
      <c r="D74" s="91" t="s">
        <v>107</v>
      </c>
      <c r="E74" s="92"/>
      <c r="F74" s="93"/>
    </row>
    <row r="75" spans="1:6" ht="51" customHeight="1" x14ac:dyDescent="0.2">
      <c r="A75" s="88"/>
      <c r="B75" s="89"/>
      <c r="C75" s="90">
        <v>62</v>
      </c>
      <c r="D75" s="91" t="s">
        <v>108</v>
      </c>
      <c r="E75" s="92"/>
      <c r="F75" s="93"/>
    </row>
    <row r="76" spans="1:6" ht="28.5" customHeight="1" x14ac:dyDescent="0.2">
      <c r="A76" s="88"/>
      <c r="B76" s="94" t="s">
        <v>109</v>
      </c>
      <c r="C76" s="90">
        <v>63</v>
      </c>
      <c r="D76" s="91" t="s">
        <v>26</v>
      </c>
      <c r="E76" s="92"/>
      <c r="F76" s="93"/>
    </row>
    <row r="77" spans="1:6" ht="51" customHeight="1" x14ac:dyDescent="0.2">
      <c r="A77" s="88"/>
      <c r="B77" s="89"/>
      <c r="C77" s="90">
        <v>64</v>
      </c>
      <c r="D77" s="91" t="s">
        <v>110</v>
      </c>
      <c r="E77" s="92"/>
      <c r="F77" s="93"/>
    </row>
    <row r="78" spans="1:6" ht="28.5" customHeight="1" x14ac:dyDescent="0.2">
      <c r="A78" s="88"/>
      <c r="B78" s="94" t="s">
        <v>119</v>
      </c>
      <c r="C78" s="90">
        <v>65</v>
      </c>
      <c r="D78" s="91" t="s">
        <v>121</v>
      </c>
      <c r="E78" s="92"/>
      <c r="F78" s="93"/>
    </row>
    <row r="79" spans="1:6" ht="28.5" customHeight="1" x14ac:dyDescent="0.2">
      <c r="A79" s="88"/>
      <c r="B79" s="89"/>
      <c r="C79" s="90">
        <v>66</v>
      </c>
      <c r="D79" s="91" t="s">
        <v>122</v>
      </c>
      <c r="E79" s="92"/>
      <c r="F79" s="93"/>
    </row>
    <row r="80" spans="1:6" ht="28.5" customHeight="1" x14ac:dyDescent="0.2">
      <c r="A80" s="88"/>
      <c r="B80" s="89"/>
      <c r="C80" s="90">
        <v>67</v>
      </c>
      <c r="D80" s="91" t="s">
        <v>142</v>
      </c>
      <c r="E80" s="92"/>
      <c r="F80" s="93" t="s">
        <v>143</v>
      </c>
    </row>
    <row r="81" spans="1:6" ht="28.5" customHeight="1" x14ac:dyDescent="0.2">
      <c r="A81" s="88"/>
      <c r="B81" s="89"/>
      <c r="C81" s="90">
        <v>68</v>
      </c>
      <c r="D81" s="91" t="s">
        <v>144</v>
      </c>
      <c r="E81" s="92"/>
      <c r="F81" s="93"/>
    </row>
    <row r="82" spans="1:6" ht="18.75" customHeight="1" x14ac:dyDescent="0.2">
      <c r="A82" s="88"/>
      <c r="B82" s="89"/>
      <c r="C82" s="90">
        <v>69</v>
      </c>
      <c r="D82" s="91" t="s">
        <v>145</v>
      </c>
      <c r="E82" s="92"/>
      <c r="F82" s="93"/>
    </row>
    <row r="83" spans="1:6" ht="39.75" customHeight="1" x14ac:dyDescent="0.2">
      <c r="A83" s="88"/>
      <c r="B83" s="89"/>
      <c r="C83" s="90">
        <v>70</v>
      </c>
      <c r="D83" s="91" t="s">
        <v>146</v>
      </c>
      <c r="E83" s="92"/>
      <c r="F83" s="93"/>
    </row>
    <row r="84" spans="1:6" ht="18.75" customHeight="1" x14ac:dyDescent="0.2">
      <c r="A84" s="88"/>
      <c r="B84" s="94" t="s">
        <v>96</v>
      </c>
      <c r="C84" s="90">
        <v>71</v>
      </c>
      <c r="D84" s="91" t="s">
        <v>150</v>
      </c>
      <c r="E84" s="92"/>
      <c r="F84" s="93"/>
    </row>
    <row r="85" spans="1:6" ht="28.5" customHeight="1" x14ac:dyDescent="0.2">
      <c r="A85" s="88"/>
      <c r="B85" s="89"/>
      <c r="C85" s="90">
        <v>72</v>
      </c>
      <c r="D85" s="91" t="s">
        <v>151</v>
      </c>
      <c r="E85" s="92"/>
      <c r="F85" s="93"/>
    </row>
    <row r="86" spans="1:6" ht="28.5" customHeight="1" x14ac:dyDescent="0.2">
      <c r="A86" s="88"/>
      <c r="B86" s="89"/>
      <c r="C86" s="90">
        <v>73</v>
      </c>
      <c r="D86" s="91" t="s">
        <v>152</v>
      </c>
      <c r="E86" s="92"/>
      <c r="F86" s="93"/>
    </row>
    <row r="87" spans="1:6" ht="39.75" customHeight="1" x14ac:dyDescent="0.2">
      <c r="A87" s="95" t="s">
        <v>59</v>
      </c>
      <c r="B87" s="96" t="s">
        <v>138</v>
      </c>
      <c r="C87" s="90">
        <v>74</v>
      </c>
      <c r="D87" s="91" t="s">
        <v>112</v>
      </c>
      <c r="E87" s="92"/>
      <c r="F87" s="93"/>
    </row>
    <row r="88" spans="1:6" ht="39.75" customHeight="1" x14ac:dyDescent="0.2">
      <c r="A88" s="88"/>
      <c r="B88" s="94" t="s">
        <v>140</v>
      </c>
      <c r="C88" s="90">
        <v>75</v>
      </c>
      <c r="D88" s="91" t="s">
        <v>94</v>
      </c>
      <c r="E88" s="92"/>
      <c r="F88" s="93"/>
    </row>
    <row r="89" spans="1:6" ht="28.5" customHeight="1" x14ac:dyDescent="0.2">
      <c r="A89" s="88"/>
      <c r="B89" s="89"/>
      <c r="C89" s="90">
        <v>76</v>
      </c>
      <c r="D89" s="91" t="s">
        <v>139</v>
      </c>
      <c r="E89" s="92"/>
      <c r="F89" s="93"/>
    </row>
    <row r="90" spans="1:6" ht="28.5" customHeight="1" x14ac:dyDescent="0.2">
      <c r="A90" s="88"/>
      <c r="B90" s="89"/>
      <c r="C90" s="90">
        <v>77</v>
      </c>
      <c r="D90" s="91" t="s">
        <v>141</v>
      </c>
      <c r="E90" s="92"/>
      <c r="F90" s="93"/>
    </row>
    <row r="91" spans="1:6" ht="39.75" customHeight="1" x14ac:dyDescent="0.2">
      <c r="A91" s="88"/>
      <c r="B91" s="94" t="s">
        <v>136</v>
      </c>
      <c r="C91" s="90">
        <v>78</v>
      </c>
      <c r="D91" s="91" t="s">
        <v>93</v>
      </c>
      <c r="E91" s="92"/>
      <c r="F91" s="93"/>
    </row>
    <row r="92" spans="1:6" ht="39.75" customHeight="1" x14ac:dyDescent="0.2">
      <c r="A92" s="88"/>
      <c r="B92" s="89"/>
      <c r="C92" s="90">
        <v>79</v>
      </c>
      <c r="D92" s="91" t="s">
        <v>111</v>
      </c>
      <c r="E92" s="92"/>
      <c r="F92" s="93"/>
    </row>
    <row r="93" spans="1:6" ht="62.25" customHeight="1" x14ac:dyDescent="0.2">
      <c r="A93" s="88"/>
      <c r="B93" s="89"/>
      <c r="C93" s="90">
        <v>80</v>
      </c>
      <c r="D93" s="91" t="s">
        <v>137</v>
      </c>
      <c r="E93" s="92"/>
      <c r="F93" s="93"/>
    </row>
    <row r="94" spans="1:6" ht="51" customHeight="1" x14ac:dyDescent="0.2">
      <c r="A94" s="95" t="s">
        <v>97</v>
      </c>
      <c r="B94" s="96" t="s">
        <v>103</v>
      </c>
      <c r="C94" s="90">
        <v>81</v>
      </c>
      <c r="D94" s="91" t="s">
        <v>115</v>
      </c>
      <c r="E94" s="92"/>
      <c r="F94" s="93"/>
    </row>
    <row r="95" spans="1:6" ht="28.5" customHeight="1" x14ac:dyDescent="0.2">
      <c r="A95" s="88"/>
      <c r="B95" s="89"/>
      <c r="C95" s="90">
        <v>82</v>
      </c>
      <c r="D95" s="91" t="s">
        <v>123</v>
      </c>
      <c r="E95" s="92"/>
      <c r="F95" s="93"/>
    </row>
    <row r="96" spans="1:6" ht="28.5" customHeight="1" x14ac:dyDescent="0.2">
      <c r="A96" s="88"/>
      <c r="B96" s="89"/>
      <c r="C96" s="90">
        <v>83</v>
      </c>
      <c r="D96" s="91" t="s">
        <v>126</v>
      </c>
      <c r="E96" s="92"/>
      <c r="F96" s="93"/>
    </row>
    <row r="97" spans="1:6" ht="62.25" customHeight="1" x14ac:dyDescent="0.2">
      <c r="A97" s="88"/>
      <c r="B97" s="94" t="s">
        <v>209</v>
      </c>
      <c r="C97" s="90">
        <v>84</v>
      </c>
      <c r="D97" s="91" t="s">
        <v>210</v>
      </c>
      <c r="E97" s="92"/>
      <c r="F97" s="93"/>
    </row>
    <row r="98" spans="1:6" ht="28.5" customHeight="1" x14ac:dyDescent="0.2">
      <c r="A98" s="88"/>
      <c r="B98" s="94" t="s">
        <v>134</v>
      </c>
      <c r="C98" s="90">
        <v>85</v>
      </c>
      <c r="D98" s="91" t="s">
        <v>135</v>
      </c>
      <c r="E98" s="92"/>
      <c r="F98" s="93"/>
    </row>
    <row r="99" spans="1:6" ht="28.5" customHeight="1" x14ac:dyDescent="0.2">
      <c r="A99" s="88"/>
      <c r="B99" s="94" t="s">
        <v>131</v>
      </c>
      <c r="C99" s="90">
        <v>86</v>
      </c>
      <c r="D99" s="91" t="s">
        <v>128</v>
      </c>
      <c r="E99" s="92"/>
      <c r="F99" s="93"/>
    </row>
    <row r="100" spans="1:6" ht="39.75" customHeight="1" x14ac:dyDescent="0.2">
      <c r="A100" s="88"/>
      <c r="B100" s="89"/>
      <c r="C100" s="90">
        <v>87</v>
      </c>
      <c r="D100" s="91" t="s">
        <v>129</v>
      </c>
      <c r="E100" s="92"/>
      <c r="F100" s="93"/>
    </row>
    <row r="101" spans="1:6" ht="51" customHeight="1" x14ac:dyDescent="0.2">
      <c r="A101" s="88"/>
      <c r="B101" s="94" t="s">
        <v>125</v>
      </c>
      <c r="C101" s="90">
        <v>88</v>
      </c>
      <c r="D101" s="91" t="s">
        <v>130</v>
      </c>
      <c r="E101" s="92"/>
      <c r="F101" s="93"/>
    </row>
    <row r="102" spans="1:6" ht="28.5" customHeight="1" x14ac:dyDescent="0.2">
      <c r="A102" s="88"/>
      <c r="B102" s="89"/>
      <c r="C102" s="90">
        <v>89</v>
      </c>
      <c r="D102" s="91" t="s">
        <v>99</v>
      </c>
      <c r="E102" s="92"/>
      <c r="F102" s="93"/>
    </row>
    <row r="103" spans="1:6" ht="39.75" customHeight="1" x14ac:dyDescent="0.2">
      <c r="A103" s="88"/>
      <c r="B103" s="89"/>
      <c r="C103" s="90">
        <v>90</v>
      </c>
      <c r="D103" s="91" t="s">
        <v>127</v>
      </c>
      <c r="E103" s="92"/>
      <c r="F103" s="93"/>
    </row>
    <row r="104" spans="1:6" ht="28.5" customHeight="1" x14ac:dyDescent="0.2">
      <c r="A104" s="88"/>
      <c r="B104" s="89"/>
      <c r="C104" s="90">
        <v>91</v>
      </c>
      <c r="D104" s="91" t="s">
        <v>124</v>
      </c>
      <c r="E104" s="92"/>
      <c r="F104" s="93"/>
    </row>
    <row r="105" spans="1:6" ht="28.5" customHeight="1" x14ac:dyDescent="0.2">
      <c r="A105" s="88"/>
      <c r="B105" s="89"/>
      <c r="C105" s="90">
        <v>92</v>
      </c>
      <c r="D105" s="91" t="s">
        <v>132</v>
      </c>
      <c r="E105" s="92"/>
      <c r="F105" s="93"/>
    </row>
    <row r="106" spans="1:6" ht="28.5" customHeight="1" x14ac:dyDescent="0.2">
      <c r="A106" s="88"/>
      <c r="B106" s="89"/>
      <c r="C106" s="90">
        <v>93</v>
      </c>
      <c r="D106" s="91" t="s">
        <v>133</v>
      </c>
      <c r="E106" s="92"/>
      <c r="F106" s="93"/>
    </row>
    <row r="107" spans="1:6" ht="40.5" customHeight="1" thickBot="1" x14ac:dyDescent="0.25">
      <c r="A107" s="97"/>
      <c r="B107" s="98" t="s">
        <v>98</v>
      </c>
      <c r="C107" s="99">
        <v>94</v>
      </c>
      <c r="D107" s="100" t="s">
        <v>95</v>
      </c>
      <c r="E107" s="101"/>
      <c r="F107" s="102"/>
    </row>
  </sheetData>
  <conditionalFormatting sqref="C14:D96 F14:F107 C98:D107">
    <cfRule type="expression" dxfId="126" priority="1" stopIfTrue="1">
      <formula>IF(LOWER($E14)="yes",TRUE,FALSE)</formula>
    </cfRule>
    <cfRule type="expression" dxfId="125" priority="2" stopIfTrue="1">
      <formula>IF(LOWER($E14)="no",TRUE,FALSE)</formula>
    </cfRule>
    <cfRule type="expression" dxfId="124" priority="3" stopIfTrue="1">
      <formula>IF(LOWER($E14)="na",TRUE,FALSE)</formula>
    </cfRule>
    <cfRule type="expression" dxfId="123" priority="4" stopIfTrue="1">
      <formula>IF(LOWER($E14)="unknown",TRUE,FALSE)</formula>
    </cfRule>
    <cfRule type="expression" dxfId="122" priority="5" stopIfTrue="1">
      <formula>IF(LOWER($E14)="pending",TRUE,FALSE)</formula>
    </cfRule>
  </conditionalFormatting>
  <conditionalFormatting sqref="E14:E107">
    <cfRule type="expression" dxfId="121" priority="6" stopIfTrue="1">
      <formula>IF(LOWER($E14)="yes",TRUE,FALSE)</formula>
    </cfRule>
    <cfRule type="expression" dxfId="120" priority="7" stopIfTrue="1">
      <formula>IF(LOWER($E14)="no",TRUE,FALSE)</formula>
    </cfRule>
    <cfRule type="expression" dxfId="119" priority="8" stopIfTrue="1">
      <formula>IF(LOWER($E14)="na",TRUE,FALSE)</formula>
    </cfRule>
    <cfRule type="expression" dxfId="118" priority="9" stopIfTrue="1">
      <formula>IF(LOWER($E14)="unknown",TRUE,FALSE)</formula>
    </cfRule>
    <cfRule type="expression" dxfId="117" priority="10" stopIfTrue="1">
      <formula>IF(LOWER($E14)="pending",TRUE,FALSE)</formula>
    </cfRule>
  </conditionalFormatting>
  <dataValidations count="1">
    <dataValidation type="list" allowBlank="1" showInputMessage="1" sqref="E14:E107" xr:uid="{9116276C-2702-4569-A874-35B79950749E}">
      <formula1>"Yes, No, NA, Unknown"</formula1>
    </dataValidation>
  </dataValidations>
  <printOptions horizontalCentered="1"/>
  <pageMargins left="0.5" right="0.5" top="0.7" bottom="0.7" header="0.3" footer="0.3"/>
  <pageSetup orientation="landscape" r:id="rId1"/>
  <headerFooter>
    <oddFooter>&amp;CPage &amp;P of &amp;N&amp;L&amp;A&amp;RPrinted: &amp;D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7508-2FB1-46E6-8B7B-943FE856AEC1}">
  <sheetPr codeName="Sheet4"/>
  <dimension ref="A1:F61"/>
  <sheetViews>
    <sheetView showGridLines="0" zoomScaleNormal="100" workbookViewId="0">
      <selection activeCell="D17" sqref="D17"/>
    </sheetView>
  </sheetViews>
  <sheetFormatPr defaultRowHeight="12.75" x14ac:dyDescent="0.2"/>
  <cols>
    <col min="1" max="1" width="15.7109375" style="2" customWidth="1"/>
    <col min="2" max="2" width="20.7109375" style="1" customWidth="1"/>
    <col min="3" max="3" width="5.7109375" style="1" customWidth="1"/>
    <col min="4" max="4" width="40.7109375" style="1" customWidth="1"/>
    <col min="5" max="5" width="9.7109375" style="2" customWidth="1"/>
    <col min="6" max="6" width="36.7109375" style="2" customWidth="1"/>
    <col min="7" max="16384" width="9.140625" style="2"/>
  </cols>
  <sheetData>
    <row r="1" spans="1:6" ht="15.75" x14ac:dyDescent="0.25">
      <c r="A1" s="7" t="s">
        <v>155</v>
      </c>
      <c r="F1" s="28" t="s">
        <v>156</v>
      </c>
    </row>
    <row r="2" spans="1:6" x14ac:dyDescent="0.2">
      <c r="A2" s="5" t="s">
        <v>4</v>
      </c>
      <c r="F2" s="28" t="s">
        <v>90</v>
      </c>
    </row>
    <row r="3" spans="1:6" x14ac:dyDescent="0.2">
      <c r="A3" s="5"/>
    </row>
    <row r="4" spans="1:6" x14ac:dyDescent="0.2">
      <c r="A4" s="6" t="s">
        <v>0</v>
      </c>
      <c r="B4" s="29"/>
      <c r="C4" s="29"/>
    </row>
    <row r="5" spans="1:6" x14ac:dyDescent="0.2">
      <c r="A5" s="6" t="s">
        <v>1</v>
      </c>
      <c r="B5" s="30"/>
      <c r="C5" s="30"/>
    </row>
    <row r="6" spans="1:6" x14ac:dyDescent="0.2">
      <c r="A6" s="6" t="s">
        <v>7</v>
      </c>
      <c r="B6" s="30"/>
      <c r="C6" s="30"/>
    </row>
    <row r="7" spans="1:6" x14ac:dyDescent="0.2">
      <c r="A7" s="6" t="s">
        <v>8</v>
      </c>
      <c r="B7" s="31"/>
      <c r="C7" s="31"/>
    </row>
    <row r="8" spans="1:6" x14ac:dyDescent="0.2">
      <c r="A8" s="5"/>
    </row>
    <row r="9" spans="1:6" x14ac:dyDescent="0.2">
      <c r="A9" s="6" t="s">
        <v>2</v>
      </c>
      <c r="B9" s="29"/>
      <c r="C9" s="29"/>
    </row>
    <row r="10" spans="1:6" x14ac:dyDescent="0.2">
      <c r="A10" s="6" t="s">
        <v>3</v>
      </c>
      <c r="B10" s="32"/>
      <c r="C10" s="30"/>
    </row>
    <row r="11" spans="1:6" x14ac:dyDescent="0.2">
      <c r="A11" s="6" t="s">
        <v>16</v>
      </c>
      <c r="B11" s="33"/>
      <c r="C11" s="31"/>
      <c r="F11" s="28"/>
    </row>
    <row r="12" spans="1:6" x14ac:dyDescent="0.2">
      <c r="A12" s="103" t="s">
        <v>16</v>
      </c>
      <c r="B12" s="104">
        <v>45309.490405092591</v>
      </c>
    </row>
    <row r="13" spans="1:6" ht="19.5" customHeight="1" thickBot="1" x14ac:dyDescent="0.25">
      <c r="A13" s="3" t="s">
        <v>5</v>
      </c>
      <c r="B13" s="3" t="s">
        <v>9</v>
      </c>
      <c r="C13" s="3" t="s">
        <v>14</v>
      </c>
      <c r="D13" s="3" t="s">
        <v>11</v>
      </c>
      <c r="E13" s="4" t="s">
        <v>15</v>
      </c>
      <c r="F13" s="4" t="s">
        <v>13</v>
      </c>
    </row>
    <row r="14" spans="1:6" ht="22.5" x14ac:dyDescent="0.2">
      <c r="A14" s="64" t="s">
        <v>6</v>
      </c>
      <c r="B14" s="67" t="s">
        <v>157</v>
      </c>
      <c r="C14" s="35">
        <v>1</v>
      </c>
      <c r="D14" s="34" t="s">
        <v>158</v>
      </c>
      <c r="E14" s="43"/>
      <c r="F14" s="36"/>
    </row>
    <row r="15" spans="1:6" ht="22.5" x14ac:dyDescent="0.2">
      <c r="A15" s="65"/>
      <c r="B15" s="68"/>
      <c r="C15" s="38">
        <v>2</v>
      </c>
      <c r="D15" s="37" t="s">
        <v>159</v>
      </c>
      <c r="E15" s="44"/>
      <c r="F15" s="39"/>
    </row>
    <row r="16" spans="1:6" ht="22.5" x14ac:dyDescent="0.2">
      <c r="A16" s="65"/>
      <c r="B16" s="68"/>
      <c r="C16" s="38">
        <v>3</v>
      </c>
      <c r="D16" s="37" t="s">
        <v>162</v>
      </c>
      <c r="E16" s="44"/>
      <c r="F16" s="39"/>
    </row>
    <row r="17" spans="1:6" ht="22.5" x14ac:dyDescent="0.2">
      <c r="A17" s="65"/>
      <c r="B17" s="68"/>
      <c r="C17" s="38">
        <v>4</v>
      </c>
      <c r="D17" s="37" t="s">
        <v>163</v>
      </c>
      <c r="E17" s="44"/>
      <c r="F17" s="39"/>
    </row>
    <row r="18" spans="1:6" ht="45" x14ac:dyDescent="0.2">
      <c r="A18" s="65"/>
      <c r="B18" s="69" t="s">
        <v>167</v>
      </c>
      <c r="C18" s="38">
        <v>5</v>
      </c>
      <c r="D18" s="37" t="s">
        <v>165</v>
      </c>
      <c r="E18" s="44"/>
      <c r="F18" s="39"/>
    </row>
    <row r="19" spans="1:6" ht="22.5" x14ac:dyDescent="0.2">
      <c r="A19" s="65"/>
      <c r="B19" s="68"/>
      <c r="C19" s="38">
        <v>6</v>
      </c>
      <c r="D19" s="37" t="s">
        <v>166</v>
      </c>
      <c r="E19" s="44"/>
      <c r="F19" s="39"/>
    </row>
    <row r="20" spans="1:6" ht="45" x14ac:dyDescent="0.2">
      <c r="A20" s="65"/>
      <c r="B20" s="68"/>
      <c r="C20" s="38">
        <v>7</v>
      </c>
      <c r="D20" s="37" t="s">
        <v>168</v>
      </c>
      <c r="E20" s="44"/>
      <c r="F20" s="39"/>
    </row>
    <row r="21" spans="1:6" ht="22.5" x14ac:dyDescent="0.2">
      <c r="A21" s="65"/>
      <c r="B21" s="68"/>
      <c r="C21" s="38">
        <v>8</v>
      </c>
      <c r="D21" s="37" t="s">
        <v>169</v>
      </c>
      <c r="E21" s="44"/>
      <c r="F21" s="39"/>
    </row>
    <row r="22" spans="1:6" ht="22.5" x14ac:dyDescent="0.2">
      <c r="A22" s="65"/>
      <c r="B22" s="68"/>
      <c r="C22" s="38">
        <v>9</v>
      </c>
      <c r="D22" s="37" t="s">
        <v>176</v>
      </c>
      <c r="E22" s="44"/>
      <c r="F22" s="39"/>
    </row>
    <row r="23" spans="1:6" ht="33.75" x14ac:dyDescent="0.2">
      <c r="A23" s="65"/>
      <c r="B23" s="69" t="s">
        <v>171</v>
      </c>
      <c r="C23" s="38">
        <v>10</v>
      </c>
      <c r="D23" s="37" t="s">
        <v>164</v>
      </c>
      <c r="E23" s="44"/>
      <c r="F23" s="39"/>
    </row>
    <row r="24" spans="1:6" ht="33.75" x14ac:dyDescent="0.2">
      <c r="A24" s="65"/>
      <c r="B24" s="68"/>
      <c r="C24" s="38">
        <v>11</v>
      </c>
      <c r="D24" s="37" t="s">
        <v>204</v>
      </c>
      <c r="E24" s="44"/>
      <c r="F24" s="39"/>
    </row>
    <row r="25" spans="1:6" ht="22.5" x14ac:dyDescent="0.2">
      <c r="A25" s="65"/>
      <c r="B25" s="68"/>
      <c r="C25" s="38">
        <v>12</v>
      </c>
      <c r="D25" s="37" t="s">
        <v>205</v>
      </c>
      <c r="E25" s="44"/>
      <c r="F25" s="39"/>
    </row>
    <row r="26" spans="1:6" ht="33.75" x14ac:dyDescent="0.2">
      <c r="A26" s="65"/>
      <c r="B26" s="68"/>
      <c r="C26" s="38">
        <v>13</v>
      </c>
      <c r="D26" s="37" t="s">
        <v>172</v>
      </c>
      <c r="E26" s="44"/>
      <c r="F26" s="39"/>
    </row>
    <row r="27" spans="1:6" ht="33.75" x14ac:dyDescent="0.2">
      <c r="A27" s="65"/>
      <c r="B27" s="68"/>
      <c r="C27" s="38">
        <v>14</v>
      </c>
      <c r="D27" s="37" t="s">
        <v>170</v>
      </c>
      <c r="E27" s="44"/>
      <c r="F27" s="39"/>
    </row>
    <row r="28" spans="1:6" ht="22.5" x14ac:dyDescent="0.2">
      <c r="A28" s="65"/>
      <c r="B28" s="68"/>
      <c r="C28" s="38">
        <v>15</v>
      </c>
      <c r="D28" s="37" t="s">
        <v>190</v>
      </c>
      <c r="E28" s="44"/>
      <c r="F28" s="39"/>
    </row>
    <row r="29" spans="1:6" ht="67.5" x14ac:dyDescent="0.2">
      <c r="A29" s="65"/>
      <c r="B29" s="68"/>
      <c r="C29" s="38">
        <v>16</v>
      </c>
      <c r="D29" s="37" t="s">
        <v>201</v>
      </c>
      <c r="E29" s="44"/>
      <c r="F29" s="39"/>
    </row>
    <row r="30" spans="1:6" ht="33.75" x14ac:dyDescent="0.2">
      <c r="A30" s="65"/>
      <c r="B30" s="68"/>
      <c r="C30" s="38">
        <v>17</v>
      </c>
      <c r="D30" s="37" t="s">
        <v>203</v>
      </c>
      <c r="E30" s="44"/>
      <c r="F30" s="39"/>
    </row>
    <row r="31" spans="1:6" ht="22.5" x14ac:dyDescent="0.2">
      <c r="A31" s="65"/>
      <c r="B31" s="69" t="s">
        <v>161</v>
      </c>
      <c r="C31" s="38">
        <v>18</v>
      </c>
      <c r="D31" s="37" t="s">
        <v>160</v>
      </c>
      <c r="E31" s="44"/>
      <c r="F31" s="39"/>
    </row>
    <row r="32" spans="1:6" ht="33.75" x14ac:dyDescent="0.2">
      <c r="A32" s="65"/>
      <c r="B32" s="69" t="s">
        <v>211</v>
      </c>
      <c r="C32" s="38">
        <v>19</v>
      </c>
      <c r="D32" s="37" t="s">
        <v>207</v>
      </c>
      <c r="E32" s="44"/>
      <c r="F32" s="39"/>
    </row>
    <row r="33" spans="1:6" ht="22.5" x14ac:dyDescent="0.2">
      <c r="A33" s="65"/>
      <c r="B33" s="68"/>
      <c r="C33" s="38">
        <v>20</v>
      </c>
      <c r="D33" s="37" t="s">
        <v>208</v>
      </c>
      <c r="E33" s="44"/>
      <c r="F33" s="39"/>
    </row>
    <row r="34" spans="1:6" ht="33.75" x14ac:dyDescent="0.2">
      <c r="A34" s="65"/>
      <c r="B34" s="69" t="s">
        <v>60</v>
      </c>
      <c r="C34" s="38">
        <v>21</v>
      </c>
      <c r="D34" s="37" t="s">
        <v>188</v>
      </c>
      <c r="E34" s="44"/>
      <c r="F34" s="39"/>
    </row>
    <row r="35" spans="1:6" ht="33.75" x14ac:dyDescent="0.2">
      <c r="A35" s="65"/>
      <c r="B35" s="68"/>
      <c r="C35" s="38">
        <v>22</v>
      </c>
      <c r="D35" s="37" t="s">
        <v>189</v>
      </c>
      <c r="E35" s="44"/>
      <c r="F35" s="39"/>
    </row>
    <row r="36" spans="1:6" ht="33.75" x14ac:dyDescent="0.2">
      <c r="A36" s="65"/>
      <c r="B36" s="68"/>
      <c r="C36" s="38">
        <v>23</v>
      </c>
      <c r="D36" s="37" t="s">
        <v>101</v>
      </c>
      <c r="E36" s="44"/>
      <c r="F36" s="39" t="s">
        <v>113</v>
      </c>
    </row>
    <row r="37" spans="1:6" ht="22.5" x14ac:dyDescent="0.2">
      <c r="A37" s="65"/>
      <c r="B37" s="68"/>
      <c r="C37" s="38">
        <v>24</v>
      </c>
      <c r="D37" s="37" t="s">
        <v>102</v>
      </c>
      <c r="E37" s="44"/>
      <c r="F37" s="39"/>
    </row>
    <row r="38" spans="1:6" x14ac:dyDescent="0.2">
      <c r="A38" s="65"/>
      <c r="B38" s="69" t="s">
        <v>178</v>
      </c>
      <c r="C38" s="38">
        <v>25</v>
      </c>
      <c r="D38" s="37" t="s">
        <v>177</v>
      </c>
      <c r="E38" s="44"/>
      <c r="F38" s="39"/>
    </row>
    <row r="39" spans="1:6" ht="22.5" x14ac:dyDescent="0.2">
      <c r="A39" s="65"/>
      <c r="B39" s="68"/>
      <c r="C39" s="38">
        <v>26</v>
      </c>
      <c r="D39" s="37" t="s">
        <v>179</v>
      </c>
      <c r="E39" s="44"/>
      <c r="F39" s="39"/>
    </row>
    <row r="40" spans="1:6" ht="33.75" x14ac:dyDescent="0.2">
      <c r="A40" s="65"/>
      <c r="B40" s="68"/>
      <c r="C40" s="38">
        <v>27</v>
      </c>
      <c r="D40" s="37" t="s">
        <v>180</v>
      </c>
      <c r="E40" s="44"/>
      <c r="F40" s="39"/>
    </row>
    <row r="41" spans="1:6" ht="22.5" x14ac:dyDescent="0.2">
      <c r="A41" s="65"/>
      <c r="B41" s="68"/>
      <c r="C41" s="38">
        <v>28</v>
      </c>
      <c r="D41" s="37" t="s">
        <v>181</v>
      </c>
      <c r="E41" s="44"/>
      <c r="F41" s="39"/>
    </row>
    <row r="42" spans="1:6" ht="33.75" x14ac:dyDescent="0.2">
      <c r="A42" s="72" t="s">
        <v>58</v>
      </c>
      <c r="B42" s="71" t="s">
        <v>175</v>
      </c>
      <c r="C42" s="38">
        <v>29</v>
      </c>
      <c r="D42" s="37" t="s">
        <v>174</v>
      </c>
      <c r="E42" s="44"/>
      <c r="F42" s="39"/>
    </row>
    <row r="43" spans="1:6" ht="22.5" x14ac:dyDescent="0.2">
      <c r="A43" s="65"/>
      <c r="B43" s="68"/>
      <c r="C43" s="38">
        <v>30</v>
      </c>
      <c r="D43" s="37" t="s">
        <v>184</v>
      </c>
      <c r="E43" s="44"/>
      <c r="F43" s="39"/>
    </row>
    <row r="44" spans="1:6" ht="22.5" x14ac:dyDescent="0.2">
      <c r="A44" s="65"/>
      <c r="B44" s="68"/>
      <c r="C44" s="38">
        <v>31</v>
      </c>
      <c r="D44" s="37" t="s">
        <v>185</v>
      </c>
      <c r="E44" s="44"/>
      <c r="F44" s="39"/>
    </row>
    <row r="45" spans="1:6" ht="22.5" x14ac:dyDescent="0.2">
      <c r="A45" s="65"/>
      <c r="B45" s="69" t="s">
        <v>182</v>
      </c>
      <c r="C45" s="38">
        <v>32</v>
      </c>
      <c r="D45" s="37" t="s">
        <v>183</v>
      </c>
      <c r="E45" s="44"/>
      <c r="F45" s="39"/>
    </row>
    <row r="46" spans="1:6" ht="22.5" x14ac:dyDescent="0.2">
      <c r="A46" s="65"/>
      <c r="B46" s="68"/>
      <c r="C46" s="38">
        <v>33</v>
      </c>
      <c r="D46" s="37" t="s">
        <v>186</v>
      </c>
      <c r="E46" s="44"/>
      <c r="F46" s="39"/>
    </row>
    <row r="47" spans="1:6" ht="33.75" x14ac:dyDescent="0.2">
      <c r="A47" s="65"/>
      <c r="B47" s="69" t="s">
        <v>96</v>
      </c>
      <c r="C47" s="38">
        <v>34</v>
      </c>
      <c r="D47" s="37" t="s">
        <v>187</v>
      </c>
      <c r="E47" s="44"/>
      <c r="F47" s="39"/>
    </row>
    <row r="48" spans="1:6" ht="33.75" x14ac:dyDescent="0.2">
      <c r="A48" s="65"/>
      <c r="B48" s="69" t="s">
        <v>134</v>
      </c>
      <c r="C48" s="38">
        <v>35</v>
      </c>
      <c r="D48" s="37" t="s">
        <v>192</v>
      </c>
      <c r="E48" s="44"/>
      <c r="F48" s="39"/>
    </row>
    <row r="49" spans="1:6" ht="22.5" x14ac:dyDescent="0.2">
      <c r="A49" s="65"/>
      <c r="B49" s="69" t="s">
        <v>195</v>
      </c>
      <c r="C49" s="38">
        <v>36</v>
      </c>
      <c r="D49" s="37" t="s">
        <v>194</v>
      </c>
      <c r="E49" s="44"/>
      <c r="F49" s="39"/>
    </row>
    <row r="50" spans="1:6" ht="22.5" x14ac:dyDescent="0.2">
      <c r="A50" s="65"/>
      <c r="B50" s="68"/>
      <c r="C50" s="38">
        <v>37</v>
      </c>
      <c r="D50" s="37" t="s">
        <v>196</v>
      </c>
      <c r="E50" s="44"/>
      <c r="F50" s="39"/>
    </row>
    <row r="51" spans="1:6" ht="33.75" x14ac:dyDescent="0.2">
      <c r="A51" s="65"/>
      <c r="B51" s="68"/>
      <c r="C51" s="38">
        <v>38</v>
      </c>
      <c r="D51" s="37" t="s">
        <v>197</v>
      </c>
      <c r="E51" s="44"/>
      <c r="F51" s="39"/>
    </row>
    <row r="52" spans="1:6" ht="33.75" x14ac:dyDescent="0.2">
      <c r="A52" s="65"/>
      <c r="B52" s="68"/>
      <c r="C52" s="38">
        <v>39</v>
      </c>
      <c r="D52" s="37" t="s">
        <v>198</v>
      </c>
      <c r="E52" s="44"/>
      <c r="F52" s="39"/>
    </row>
    <row r="53" spans="1:6" ht="33.75" x14ac:dyDescent="0.2">
      <c r="A53" s="65"/>
      <c r="B53" s="69" t="s">
        <v>199</v>
      </c>
      <c r="C53" s="38">
        <v>40</v>
      </c>
      <c r="D53" s="37" t="s">
        <v>200</v>
      </c>
      <c r="E53" s="44"/>
      <c r="F53" s="39"/>
    </row>
    <row r="54" spans="1:6" ht="22.5" x14ac:dyDescent="0.2">
      <c r="A54" s="72" t="s">
        <v>59</v>
      </c>
      <c r="B54" s="71" t="s">
        <v>206</v>
      </c>
      <c r="C54" s="38">
        <v>41</v>
      </c>
      <c r="D54" s="37" t="s">
        <v>173</v>
      </c>
      <c r="E54" s="44"/>
      <c r="F54" s="39"/>
    </row>
    <row r="55" spans="1:6" ht="45" x14ac:dyDescent="0.2">
      <c r="A55" s="72" t="s">
        <v>97</v>
      </c>
      <c r="B55" s="71" t="s">
        <v>103</v>
      </c>
      <c r="C55" s="38">
        <v>42</v>
      </c>
      <c r="D55" s="37" t="s">
        <v>115</v>
      </c>
      <c r="E55" s="44"/>
      <c r="F55" s="39"/>
    </row>
    <row r="56" spans="1:6" ht="22.5" x14ac:dyDescent="0.2">
      <c r="A56" s="65"/>
      <c r="B56" s="68"/>
      <c r="C56" s="38">
        <v>43</v>
      </c>
      <c r="D56" s="37" t="s">
        <v>123</v>
      </c>
      <c r="E56" s="44"/>
      <c r="F56" s="39"/>
    </row>
    <row r="57" spans="1:6" ht="22.5" x14ac:dyDescent="0.2">
      <c r="A57" s="65"/>
      <c r="B57" s="68"/>
      <c r="C57" s="38">
        <v>44</v>
      </c>
      <c r="D57" s="37" t="s">
        <v>126</v>
      </c>
      <c r="E57" s="44"/>
      <c r="F57" s="39"/>
    </row>
    <row r="58" spans="1:6" ht="45" x14ac:dyDescent="0.2">
      <c r="A58" s="65"/>
      <c r="B58" s="69" t="s">
        <v>202</v>
      </c>
      <c r="C58" s="38">
        <v>45</v>
      </c>
      <c r="D58" s="37" t="s">
        <v>191</v>
      </c>
      <c r="E58" s="44"/>
      <c r="F58" s="39"/>
    </row>
    <row r="59" spans="1:6" ht="22.5" x14ac:dyDescent="0.2">
      <c r="A59" s="65"/>
      <c r="B59" s="68"/>
      <c r="C59" s="38">
        <v>46</v>
      </c>
      <c r="D59" s="37" t="s">
        <v>193</v>
      </c>
      <c r="E59" s="44"/>
      <c r="F59" s="39"/>
    </row>
    <row r="60" spans="1:6" ht="56.25" x14ac:dyDescent="0.2">
      <c r="A60" s="65"/>
      <c r="B60" s="69" t="s">
        <v>209</v>
      </c>
      <c r="C60" s="38">
        <v>47</v>
      </c>
      <c r="D60" s="37" t="s">
        <v>210</v>
      </c>
      <c r="E60" s="44"/>
      <c r="F60" s="39"/>
    </row>
    <row r="61" spans="1:6" ht="34.5" thickBot="1" x14ac:dyDescent="0.25">
      <c r="A61" s="66"/>
      <c r="B61" s="70" t="s">
        <v>98</v>
      </c>
      <c r="C61" s="41">
        <v>48</v>
      </c>
      <c r="D61" s="40" t="s">
        <v>95</v>
      </c>
      <c r="E61" s="45"/>
      <c r="F61" s="42"/>
    </row>
  </sheetData>
  <conditionalFormatting sqref="C37:C53 F58:F61 C58:D58 C54:D54 C14:D36 F14:F54">
    <cfRule type="expression" dxfId="114" priority="46" stopIfTrue="1">
      <formula>IF(LOWER($E14)="yes",TRUE,FALSE)</formula>
    </cfRule>
    <cfRule type="expression" dxfId="113" priority="47" stopIfTrue="1">
      <formula>IF(LOWER($E14)="no",TRUE,FALSE)</formula>
    </cfRule>
    <cfRule type="expression" dxfId="112" priority="48" stopIfTrue="1">
      <formula>IF(LOWER($E14)="na",TRUE,FALSE)</formula>
    </cfRule>
    <cfRule type="expression" dxfId="111" priority="49" stopIfTrue="1">
      <formula>IF(LOWER($E14)="unknown",TRUE,FALSE)</formula>
    </cfRule>
    <cfRule type="expression" dxfId="110" priority="50" stopIfTrue="1">
      <formula>IF(LOWER($E14)="pending",TRUE,FALSE)</formula>
    </cfRule>
  </conditionalFormatting>
  <conditionalFormatting sqref="E58:E61 E14:E54">
    <cfRule type="expression" dxfId="109" priority="51" stopIfTrue="1">
      <formula>IF(LOWER($E14)="yes",TRUE,FALSE)</formula>
    </cfRule>
    <cfRule type="expression" dxfId="108" priority="52" stopIfTrue="1">
      <formula>IF(LOWER($E14)="no",TRUE,FALSE)</formula>
    </cfRule>
    <cfRule type="expression" dxfId="107" priority="53" stopIfTrue="1">
      <formula>IF(LOWER($E14)="na",TRUE,FALSE)</formula>
    </cfRule>
    <cfRule type="expression" dxfId="106" priority="54" stopIfTrue="1">
      <formula>IF(LOWER($E14)="unknown",TRUE,FALSE)</formula>
    </cfRule>
    <cfRule type="expression" dxfId="105" priority="55" stopIfTrue="1">
      <formula>IF(LOWER($E14)="pending",TRUE,FALSE)</formula>
    </cfRule>
  </conditionalFormatting>
  <conditionalFormatting sqref="D44">
    <cfRule type="expression" dxfId="104" priority="36" stopIfTrue="1">
      <formula>IF(LOWER($E58)="yes",TRUE,FALSE)</formula>
    </cfRule>
    <cfRule type="expression" dxfId="103" priority="37" stopIfTrue="1">
      <formula>IF(LOWER($E58)="no",TRUE,FALSE)</formula>
    </cfRule>
    <cfRule type="expression" dxfId="102" priority="38" stopIfTrue="1">
      <formula>IF(LOWER($E58)="na",TRUE,FALSE)</formula>
    </cfRule>
    <cfRule type="expression" dxfId="101" priority="39" stopIfTrue="1">
      <formula>IF(LOWER($E58)="unknown",TRUE,FALSE)</formula>
    </cfRule>
    <cfRule type="expression" dxfId="100" priority="40" stopIfTrue="1">
      <formula>IF(LOWER($E58)="pending",TRUE,FALSE)</formula>
    </cfRule>
  </conditionalFormatting>
  <conditionalFormatting sqref="D39:D41">
    <cfRule type="expression" dxfId="99" priority="96" stopIfTrue="1">
      <formula>IF(LOWER(#REF!)="yes",TRUE,FALSE)</formula>
    </cfRule>
    <cfRule type="expression" dxfId="98" priority="97" stopIfTrue="1">
      <formula>IF(LOWER(#REF!)="no",TRUE,FALSE)</formula>
    </cfRule>
    <cfRule type="expression" dxfId="97" priority="98" stopIfTrue="1">
      <formula>IF(LOWER(#REF!)="na",TRUE,FALSE)</formula>
    </cfRule>
    <cfRule type="expression" dxfId="96" priority="99" stopIfTrue="1">
      <formula>IF(LOWER(#REF!)="unknown",TRUE,FALSE)</formula>
    </cfRule>
    <cfRule type="expression" dxfId="95" priority="100" stopIfTrue="1">
      <formula>IF(LOWER(#REF!)="pending",TRUE,FALSE)</formula>
    </cfRule>
  </conditionalFormatting>
  <conditionalFormatting sqref="D42 D46:D47">
    <cfRule type="expression" dxfId="94" priority="101" stopIfTrue="1">
      <formula>IF(LOWER($E54)="yes",TRUE,FALSE)</formula>
    </cfRule>
    <cfRule type="expression" dxfId="93" priority="102" stopIfTrue="1">
      <formula>IF(LOWER($E54)="no",TRUE,FALSE)</formula>
    </cfRule>
    <cfRule type="expression" dxfId="92" priority="103" stopIfTrue="1">
      <formula>IF(LOWER($E54)="na",TRUE,FALSE)</formula>
    </cfRule>
    <cfRule type="expression" dxfId="91" priority="104" stopIfTrue="1">
      <formula>IF(LOWER($E54)="unknown",TRUE,FALSE)</formula>
    </cfRule>
    <cfRule type="expression" dxfId="90" priority="105" stopIfTrue="1">
      <formula>IF(LOWER($E54)="pending",TRUE,FALSE)</formula>
    </cfRule>
  </conditionalFormatting>
  <conditionalFormatting sqref="D38">
    <cfRule type="expression" dxfId="89" priority="116" stopIfTrue="1">
      <formula>IF(LOWER($E45)="yes",TRUE,FALSE)</formula>
    </cfRule>
    <cfRule type="expression" dxfId="88" priority="117" stopIfTrue="1">
      <formula>IF(LOWER($E45)="no",TRUE,FALSE)</formula>
    </cfRule>
    <cfRule type="expression" dxfId="87" priority="118" stopIfTrue="1">
      <formula>IF(LOWER($E45)="na",TRUE,FALSE)</formula>
    </cfRule>
    <cfRule type="expression" dxfId="86" priority="119" stopIfTrue="1">
      <formula>IF(LOWER($E45)="unknown",TRUE,FALSE)</formula>
    </cfRule>
    <cfRule type="expression" dxfId="85" priority="120" stopIfTrue="1">
      <formula>IF(LOWER($E45)="pending",TRUE,FALSE)</formula>
    </cfRule>
  </conditionalFormatting>
  <conditionalFormatting sqref="D37">
    <cfRule type="expression" dxfId="84" priority="16" stopIfTrue="1">
      <formula>IF(LOWER($E37)="yes",TRUE,FALSE)</formula>
    </cfRule>
    <cfRule type="expression" dxfId="83" priority="17" stopIfTrue="1">
      <formula>IF(LOWER($E37)="no",TRUE,FALSE)</formula>
    </cfRule>
    <cfRule type="expression" dxfId="82" priority="18" stopIfTrue="1">
      <formula>IF(LOWER($E37)="na",TRUE,FALSE)</formula>
    </cfRule>
    <cfRule type="expression" dxfId="81" priority="19" stopIfTrue="1">
      <formula>IF(LOWER($E37)="unknown",TRUE,FALSE)</formula>
    </cfRule>
    <cfRule type="expression" dxfId="80" priority="20" stopIfTrue="1">
      <formula>IF(LOWER($E37)="pending",TRUE,FALSE)</formula>
    </cfRule>
  </conditionalFormatting>
  <conditionalFormatting sqref="C61:D61">
    <cfRule type="expression" dxfId="79" priority="11" stopIfTrue="1">
      <formula>IF(LOWER($E61)="yes",TRUE,FALSE)</formula>
    </cfRule>
    <cfRule type="expression" dxfId="78" priority="12" stopIfTrue="1">
      <formula>IF(LOWER($E61)="no",TRUE,FALSE)</formula>
    </cfRule>
    <cfRule type="expression" dxfId="77" priority="13" stopIfTrue="1">
      <formula>IF(LOWER($E61)="na",TRUE,FALSE)</formula>
    </cfRule>
    <cfRule type="expression" dxfId="76" priority="14" stopIfTrue="1">
      <formula>IF(LOWER($E61)="unknown",TRUE,FALSE)</formula>
    </cfRule>
    <cfRule type="expression" dxfId="75" priority="15" stopIfTrue="1">
      <formula>IF(LOWER($E61)="pending",TRUE,FALSE)</formula>
    </cfRule>
  </conditionalFormatting>
  <conditionalFormatting sqref="C55:D57 F55:F57">
    <cfRule type="expression" dxfId="74" priority="1" stopIfTrue="1">
      <formula>IF(LOWER($E55)="yes",TRUE,FALSE)</formula>
    </cfRule>
    <cfRule type="expression" dxfId="73" priority="2" stopIfTrue="1">
      <formula>IF(LOWER($E55)="no",TRUE,FALSE)</formula>
    </cfRule>
    <cfRule type="expression" dxfId="72" priority="3" stopIfTrue="1">
      <formula>IF(LOWER($E55)="na",TRUE,FALSE)</formula>
    </cfRule>
    <cfRule type="expression" dxfId="71" priority="4" stopIfTrue="1">
      <formula>IF(LOWER($E55)="unknown",TRUE,FALSE)</formula>
    </cfRule>
    <cfRule type="expression" dxfId="70" priority="5" stopIfTrue="1">
      <formula>IF(LOWER($E55)="pending",TRUE,FALSE)</formula>
    </cfRule>
  </conditionalFormatting>
  <conditionalFormatting sqref="E55:E57">
    <cfRule type="expression" dxfId="69" priority="6" stopIfTrue="1">
      <formula>IF(LOWER($E55)="yes",TRUE,FALSE)</formula>
    </cfRule>
    <cfRule type="expression" dxfId="68" priority="7" stopIfTrue="1">
      <formula>IF(LOWER($E55)="no",TRUE,FALSE)</formula>
    </cfRule>
    <cfRule type="expression" dxfId="67" priority="8" stopIfTrue="1">
      <formula>IF(LOWER($E55)="na",TRUE,FALSE)</formula>
    </cfRule>
    <cfRule type="expression" dxfId="66" priority="9" stopIfTrue="1">
      <formula>IF(LOWER($E55)="unknown",TRUE,FALSE)</formula>
    </cfRule>
    <cfRule type="expression" dxfId="65" priority="10" stopIfTrue="1">
      <formula>IF(LOWER($E55)="pending",TRUE,FALSE)</formula>
    </cfRule>
  </conditionalFormatting>
  <conditionalFormatting sqref="D45">
    <cfRule type="expression" dxfId="64" priority="136" stopIfTrue="1">
      <formula>IF(LOWER(#REF!)="yes",TRUE,FALSE)</formula>
    </cfRule>
    <cfRule type="expression" dxfId="63" priority="137" stopIfTrue="1">
      <formula>IF(LOWER(#REF!)="no",TRUE,FALSE)</formula>
    </cfRule>
    <cfRule type="expression" dxfId="62" priority="138" stopIfTrue="1">
      <formula>IF(LOWER(#REF!)="na",TRUE,FALSE)</formula>
    </cfRule>
    <cfRule type="expression" dxfId="61" priority="139" stopIfTrue="1">
      <formula>IF(LOWER(#REF!)="unknown",TRUE,FALSE)</formula>
    </cfRule>
    <cfRule type="expression" dxfId="60" priority="140" stopIfTrue="1">
      <formula>IF(LOWER(#REF!)="pending",TRUE,FALSE)</formula>
    </cfRule>
  </conditionalFormatting>
  <conditionalFormatting sqref="D43">
    <cfRule type="expression" dxfId="59" priority="146" stopIfTrue="1">
      <formula>IF(LOWER(#REF!)="yes",TRUE,FALSE)</formula>
    </cfRule>
    <cfRule type="expression" dxfId="58" priority="147" stopIfTrue="1">
      <formula>IF(LOWER(#REF!)="no",TRUE,FALSE)</formula>
    </cfRule>
    <cfRule type="expression" dxfId="57" priority="148" stopIfTrue="1">
      <formula>IF(LOWER(#REF!)="na",TRUE,FALSE)</formula>
    </cfRule>
    <cfRule type="expression" dxfId="56" priority="149" stopIfTrue="1">
      <formula>IF(LOWER(#REF!)="unknown",TRUE,FALSE)</formula>
    </cfRule>
    <cfRule type="expression" dxfId="55" priority="150" stopIfTrue="1">
      <formula>IF(LOWER(#REF!)="pending",TRUE,FALSE)</formula>
    </cfRule>
  </conditionalFormatting>
  <conditionalFormatting sqref="D48:D53">
    <cfRule type="expression" dxfId="54" priority="156" stopIfTrue="1">
      <formula>IF(LOWER($E61)="yes",TRUE,FALSE)</formula>
    </cfRule>
    <cfRule type="expression" dxfId="53" priority="157" stopIfTrue="1">
      <formula>IF(LOWER($E61)="no",TRUE,FALSE)</formula>
    </cfRule>
    <cfRule type="expression" dxfId="52" priority="158" stopIfTrue="1">
      <formula>IF(LOWER($E61)="na",TRUE,FALSE)</formula>
    </cfRule>
    <cfRule type="expression" dxfId="51" priority="159" stopIfTrue="1">
      <formula>IF(LOWER($E61)="unknown",TRUE,FALSE)</formula>
    </cfRule>
    <cfRule type="expression" dxfId="50" priority="160" stopIfTrue="1">
      <formula>IF(LOWER($E61)="pending",TRUE,FALSE)</formula>
    </cfRule>
  </conditionalFormatting>
  <dataValidations count="1">
    <dataValidation type="list" allowBlank="1" showInputMessage="1" sqref="E14:E61" xr:uid="{E6DADE6C-B39D-43F1-8548-0FBBC2DD31A5}">
      <formula1>"Yes, No, NA, Unknown"</formula1>
    </dataValidation>
  </dataValidations>
  <printOptions horizontalCentered="1"/>
  <pageMargins left="0.5" right="0.5" top="0.7" bottom="0.7" header="0.3" footer="0.3"/>
  <pageSetup orientation="landscape" r:id="rId1"/>
  <headerFooter>
    <oddFooter>&amp;CPage &amp;P of &amp;N&amp;L&amp;A&amp;RPrinted: &amp;D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67B3E-F9CF-4EDA-9537-3D66EEC8196A}">
  <sheetPr codeName="Sheet5"/>
  <dimension ref="A1:F15"/>
  <sheetViews>
    <sheetView showGridLines="0" zoomScaleNormal="100" workbookViewId="0">
      <selection activeCell="H10" sqref="H10"/>
    </sheetView>
  </sheetViews>
  <sheetFormatPr defaultRowHeight="12.75" x14ac:dyDescent="0.2"/>
  <cols>
    <col min="1" max="1" width="15.7109375" customWidth="1"/>
    <col min="2" max="2" width="20.7109375" customWidth="1"/>
    <col min="3" max="3" width="5.7109375" customWidth="1"/>
    <col min="4" max="4" width="40.7109375" customWidth="1"/>
    <col min="5" max="5" width="9.7109375" customWidth="1"/>
    <col min="6" max="6" width="35.7109375" customWidth="1"/>
  </cols>
  <sheetData>
    <row r="1" spans="1:6" ht="15.75" x14ac:dyDescent="0.25">
      <c r="A1" s="7" t="s">
        <v>212</v>
      </c>
    </row>
    <row r="2" spans="1:6" x14ac:dyDescent="0.2">
      <c r="A2" t="s">
        <v>213</v>
      </c>
    </row>
    <row r="4" spans="1:6" ht="15.75" x14ac:dyDescent="0.25">
      <c r="A4" s="6" t="s">
        <v>0</v>
      </c>
      <c r="B4" s="50"/>
      <c r="C4" s="46"/>
      <c r="D4" s="49"/>
    </row>
    <row r="5" spans="1:6" x14ac:dyDescent="0.2">
      <c r="A5" s="6" t="s">
        <v>215</v>
      </c>
      <c r="B5" s="47"/>
      <c r="C5" s="47"/>
      <c r="D5" s="51"/>
      <c r="E5" s="13" t="s">
        <v>216</v>
      </c>
      <c r="F5" s="63" t="s">
        <v>218</v>
      </c>
    </row>
    <row r="6" spans="1:6" x14ac:dyDescent="0.2">
      <c r="A6" s="6" t="s">
        <v>1</v>
      </c>
      <c r="B6" s="47"/>
      <c r="C6" s="47"/>
      <c r="D6" s="54"/>
    </row>
    <row r="7" spans="1:6" x14ac:dyDescent="0.2">
      <c r="A7" s="6" t="s">
        <v>214</v>
      </c>
      <c r="B7" s="47"/>
      <c r="C7" s="47"/>
      <c r="D7" s="55"/>
    </row>
    <row r="8" spans="1:6" x14ac:dyDescent="0.2">
      <c r="A8" s="6" t="s">
        <v>7</v>
      </c>
      <c r="B8" s="47"/>
      <c r="C8" s="47"/>
      <c r="D8" s="55"/>
    </row>
    <row r="9" spans="1:6" x14ac:dyDescent="0.2">
      <c r="A9" s="6" t="s">
        <v>8</v>
      </c>
      <c r="B9" s="48"/>
      <c r="C9" s="48"/>
      <c r="D9" s="56"/>
    </row>
    <row r="11" spans="1:6" x14ac:dyDescent="0.2">
      <c r="A11" s="6" t="s">
        <v>2</v>
      </c>
      <c r="B11" s="49"/>
      <c r="C11" s="49"/>
      <c r="D11" s="52"/>
      <c r="E11" s="13" t="s">
        <v>217</v>
      </c>
    </row>
    <row r="12" spans="1:6" x14ac:dyDescent="0.2">
      <c r="A12" s="6" t="s">
        <v>16</v>
      </c>
      <c r="B12" s="53">
        <v>45309.486226851855</v>
      </c>
    </row>
    <row r="13" spans="1:6" ht="13.5" thickBot="1" x14ac:dyDescent="0.25"/>
    <row r="14" spans="1:6" ht="18.75" customHeight="1" thickBot="1" x14ac:dyDescent="0.25">
      <c r="A14" s="74" t="s">
        <v>5</v>
      </c>
      <c r="B14" s="73" t="s">
        <v>9</v>
      </c>
      <c r="C14" s="73" t="s">
        <v>14</v>
      </c>
      <c r="D14" s="73" t="s">
        <v>11</v>
      </c>
      <c r="E14" s="73" t="s">
        <v>15</v>
      </c>
      <c r="F14" s="75" t="s">
        <v>13</v>
      </c>
    </row>
    <row r="15" spans="1:6" ht="18.75" customHeight="1" thickBot="1" x14ac:dyDescent="0.25">
      <c r="A15" s="57"/>
      <c r="B15" s="62"/>
      <c r="C15" s="59"/>
      <c r="D15" s="58"/>
      <c r="E15" s="61"/>
      <c r="F15" s="60"/>
    </row>
  </sheetData>
  <conditionalFormatting sqref="C15:D15 F15">
    <cfRule type="expression" dxfId="40" priority="1" stopIfTrue="1">
      <formula>IF(LOWER($E15)="Yes",TRUE,FALSE)</formula>
    </cfRule>
    <cfRule type="expression" dxfId="39" priority="2" stopIfTrue="1">
      <formula>IF(LOWER($E15)="No",TRUE,FALSE)</formula>
    </cfRule>
    <cfRule type="expression" dxfId="38" priority="3" stopIfTrue="1">
      <formula>IF(LOWER($E15)="Unknown",TRUE,FALSE)</formula>
    </cfRule>
    <cfRule type="expression" dxfId="37" priority="4" stopIfTrue="1">
      <formula>IF(LOWER($E15)="NA",TRUE,FALSE)</formula>
    </cfRule>
  </conditionalFormatting>
  <conditionalFormatting sqref="E15">
    <cfRule type="expression" dxfId="36" priority="5" stopIfTrue="1">
      <formula>IF(LOWER($E15)="Yes",TRUE,FALSE)</formula>
    </cfRule>
    <cfRule type="expression" dxfId="35" priority="6" stopIfTrue="1">
      <formula>IF(LOWER($E15)="No",TRUE,FALSE)</formula>
    </cfRule>
    <cfRule type="expression" dxfId="34" priority="7" stopIfTrue="1">
      <formula>IF(LOWER($E15)="Unknown",TRUE,FALSE)</formula>
    </cfRule>
    <cfRule type="expression" dxfId="33" priority="8" stopIfTrue="1">
      <formula>IF(LOWER($E15)="NA",TRUE,FALSE)</formula>
    </cfRule>
  </conditionalFormatting>
  <dataValidations count="1">
    <dataValidation type="list" allowBlank="1" showInputMessage="1" errorTitle="Disallowed Input" error="Please select from the options: Yes, No, Unknown, NA" sqref="E15" xr:uid="{BE658B79-F62D-4270-A3DF-F2879BBE273B}">
      <formula1>"Yes, No, Unknown, NA"</formula1>
    </dataValidation>
  </dataValidations>
  <printOptions horizontalCentered="1"/>
  <pageMargins left="0.5" right="0.5" top="0.7" bottom="0.7" header="0.3" footer="0.3"/>
  <pageSetup orientation="landscape" r:id="rId1"/>
  <headerFooter>
    <oddFooter>&amp;CPage &amp;P of &amp;N&amp;L&amp;A&amp;RPrinted: &amp;D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BEC2A-F307-4A38-A635-634F70DBC10E}">
  <sheetPr codeName="Sheet7"/>
  <dimension ref="A1:F15"/>
  <sheetViews>
    <sheetView showGridLines="0" tabSelected="1" workbookViewId="0">
      <selection activeCell="D22" sqref="D22"/>
    </sheetView>
  </sheetViews>
  <sheetFormatPr defaultRowHeight="12.75" x14ac:dyDescent="0.2"/>
  <cols>
    <col min="1" max="1" width="15.7109375" customWidth="1"/>
    <col min="2" max="2" width="20.7109375" customWidth="1"/>
    <col min="3" max="3" width="5.7109375" customWidth="1"/>
    <col min="4" max="4" width="40.7109375" customWidth="1"/>
    <col min="5" max="5" width="9.7109375" customWidth="1"/>
    <col min="6" max="6" width="35.7109375" customWidth="1"/>
  </cols>
  <sheetData>
    <row r="1" spans="1:6" ht="15.75" x14ac:dyDescent="0.25">
      <c r="A1" s="7" t="s">
        <v>212</v>
      </c>
    </row>
    <row r="2" spans="1:6" x14ac:dyDescent="0.2">
      <c r="A2" t="s">
        <v>213</v>
      </c>
    </row>
    <row r="4" spans="1:6" ht="15.75" x14ac:dyDescent="0.25">
      <c r="A4" s="6" t="s">
        <v>0</v>
      </c>
      <c r="B4" s="50"/>
      <c r="C4" s="46"/>
      <c r="D4" s="49"/>
    </row>
    <row r="5" spans="1:6" x14ac:dyDescent="0.2">
      <c r="A5" s="6" t="s">
        <v>215</v>
      </c>
      <c r="B5" s="47"/>
      <c r="C5" s="47"/>
      <c r="D5" s="51"/>
      <c r="E5" s="13" t="s">
        <v>216</v>
      </c>
      <c r="F5" s="63" t="s">
        <v>218</v>
      </c>
    </row>
    <row r="6" spans="1:6" x14ac:dyDescent="0.2">
      <c r="A6" s="6" t="s">
        <v>1</v>
      </c>
      <c r="B6" s="47"/>
      <c r="C6" s="47"/>
      <c r="D6" s="54"/>
    </row>
    <row r="7" spans="1:6" x14ac:dyDescent="0.2">
      <c r="A7" s="6" t="s">
        <v>214</v>
      </c>
      <c r="B7" s="47"/>
      <c r="C7" s="47"/>
      <c r="D7" s="55"/>
    </row>
    <row r="8" spans="1:6" x14ac:dyDescent="0.2">
      <c r="A8" s="6" t="s">
        <v>7</v>
      </c>
      <c r="B8" s="47"/>
      <c r="C8" s="47"/>
      <c r="D8" s="55"/>
    </row>
    <row r="9" spans="1:6" x14ac:dyDescent="0.2">
      <c r="A9" s="6" t="s">
        <v>8</v>
      </c>
      <c r="B9" s="48"/>
      <c r="C9" s="48"/>
      <c r="D9" s="56"/>
    </row>
    <row r="11" spans="1:6" x14ac:dyDescent="0.2">
      <c r="A11" s="6" t="s">
        <v>2</v>
      </c>
      <c r="B11" s="49"/>
      <c r="C11" s="49"/>
      <c r="D11" s="52"/>
      <c r="E11" s="13" t="s">
        <v>217</v>
      </c>
    </row>
    <row r="12" spans="1:6" x14ac:dyDescent="0.2">
      <c r="A12" s="6" t="s">
        <v>16</v>
      </c>
      <c r="B12" s="53">
        <v>45309.490520833337</v>
      </c>
    </row>
    <row r="13" spans="1:6" ht="13.5" thickBot="1" x14ac:dyDescent="0.25"/>
    <row r="14" spans="1:6" ht="18.75" customHeight="1" thickBot="1" x14ac:dyDescent="0.25">
      <c r="A14" s="74" t="s">
        <v>5</v>
      </c>
      <c r="B14" s="73" t="s">
        <v>9</v>
      </c>
      <c r="C14" s="73" t="s">
        <v>14</v>
      </c>
      <c r="D14" s="73" t="s">
        <v>11</v>
      </c>
      <c r="E14" s="73" t="s">
        <v>15</v>
      </c>
      <c r="F14" s="75" t="s">
        <v>13</v>
      </c>
    </row>
    <row r="15" spans="1:6" ht="18.75" customHeight="1" thickBot="1" x14ac:dyDescent="0.25">
      <c r="A15" s="76"/>
      <c r="B15" s="77"/>
      <c r="C15" s="78"/>
      <c r="D15" s="79"/>
      <c r="E15" s="80"/>
      <c r="F15" s="81"/>
    </row>
  </sheetData>
  <conditionalFormatting sqref="C15:D15 F15">
    <cfRule type="expression" dxfId="23" priority="1" stopIfTrue="1">
      <formula>IF(LOWER($E15)="Yes",TRUE,FALSE)</formula>
    </cfRule>
    <cfRule type="expression" dxfId="22" priority="2" stopIfTrue="1">
      <formula>IF(LOWER($E15)="No",TRUE,FALSE)</formula>
    </cfRule>
    <cfRule type="expression" dxfId="21" priority="3" stopIfTrue="1">
      <formula>IF(LOWER($E15)="Unknown",TRUE,FALSE)</formula>
    </cfRule>
    <cfRule type="expression" dxfId="20" priority="4" stopIfTrue="1">
      <formula>IF(LOWER($E15)="NA",TRUE,FALSE)</formula>
    </cfRule>
  </conditionalFormatting>
  <conditionalFormatting sqref="E15">
    <cfRule type="expression" dxfId="19" priority="5" stopIfTrue="1">
      <formula>IF(LOWER($E15)="Yes",TRUE,FALSE)</formula>
    </cfRule>
    <cfRule type="expression" dxfId="18" priority="6" stopIfTrue="1">
      <formula>IF(LOWER($E15)="No",TRUE,FALSE)</formula>
    </cfRule>
    <cfRule type="expression" dxfId="17" priority="7" stopIfTrue="1">
      <formula>IF(LOWER($E15)="Unknown",TRUE,FALSE)</formula>
    </cfRule>
    <cfRule type="expression" dxfId="16" priority="8" stopIfTrue="1">
      <formula>IF(LOWER($E15)="NA",TRUE,FALSE)</formula>
    </cfRule>
  </conditionalFormatting>
  <dataValidations count="1">
    <dataValidation type="list" allowBlank="1" showInputMessage="1" errorTitle="Disallowed Input" error="Please select from the options: Yes, No, Unknown, NA" sqref="E15" xr:uid="{63E3113B-6ADC-4FD9-BEAD-281766820EBF}">
      <formula1>"Yes, No, Unknown, NA"</formula1>
    </dataValidation>
  </dataValidations>
  <printOptions horizontalCentered="1"/>
  <pageMargins left="0.5" right="0.5" top="0.7" bottom="0.7" header="0.3" footer="0.3"/>
  <pageSetup orientation="landscape" r:id="rId1"/>
  <headerFooter>
    <oddFooter>&amp;CPage &amp;P of &amp;N&amp;L&amp;A&amp;RPrinted: &amp;D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DBB</vt:lpstr>
      <vt:lpstr>DB</vt:lpstr>
      <vt:lpstr>Checklist</vt:lpstr>
      <vt:lpstr>DB!Print_Titles</vt:lpstr>
      <vt:lpstr>DBB!Print_Titles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cp:lastPrinted>2024-01-18T00:21:07Z</cp:lastPrinted>
  <dcterms:created xsi:type="dcterms:W3CDTF">2023-12-26T05:00:37Z</dcterms:created>
  <dcterms:modified xsi:type="dcterms:W3CDTF">2024-01-18T02:46:24Z</dcterms:modified>
</cp:coreProperties>
</file>