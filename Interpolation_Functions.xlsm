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13_ncr:1_{DAFDCB39-ACA7-45DC-9FD6-9193DE2C0701}" xr6:coauthVersionLast="47" xr6:coauthVersionMax="47" xr10:uidLastSave="{00000000-0000-0000-0000-000000000000}"/>
  <bookViews>
    <workbookView xWindow="-108" yWindow="-108" windowWidth="23256" windowHeight="12456" xr2:uid="{A33C2861-00A4-4C69-B0EC-822E79194371}"/>
  </bookViews>
  <sheets>
    <sheet name="Multilinear" sheetId="1" r:id="rId1"/>
    <sheet name="Bilinea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D17" i="1"/>
  <c r="D18" i="1"/>
  <c r="D19" i="1"/>
  <c r="D20" i="1"/>
  <c r="D21" i="1"/>
  <c r="D22" i="1"/>
  <c r="D23" i="1"/>
  <c r="D24" i="1"/>
  <c r="D16" i="1"/>
  <c r="H16" i="2" a="1"/>
  <c r="E14" i="1" a="1"/>
  <c r="H31" i="2" a="1"/>
  <c r="Q16" i="2" a="1"/>
  <c r="Q31" i="2" a="1"/>
  <c r="Q31" i="2" l="1"/>
  <c r="Q16" i="2"/>
  <c r="H16" i="2"/>
  <c r="H31" i="2"/>
  <c r="E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<sst xmlns="http://schemas.openxmlformats.org/spreadsheetml/2006/main" count="44" uniqueCount="17">
  <si>
    <t>X'</t>
  </si>
  <si>
    <t>Y'</t>
  </si>
  <si>
    <t>Zs</t>
  </si>
  <si>
    <t>Ys</t>
  </si>
  <si>
    <t>Xs</t>
  </si>
  <si>
    <t>Z'</t>
  </si>
  <si>
    <t>►</t>
  </si>
  <si>
    <t>PREFERRED</t>
  </si>
  <si>
    <t>Not Prefered</t>
  </si>
  <si>
    <t xml:space="preserve">Because it may lead to </t>
  </si>
  <si>
    <t>confusion with the Z table</t>
  </si>
  <si>
    <t>This function assumes the x range is a monotonic sequence.</t>
  </si>
  <si>
    <t>This function assumes that both the Xs and Ys are monotonic sequences.</t>
  </si>
  <si>
    <t>Example alternative layout</t>
  </si>
  <si>
    <r>
      <t>Interpolate_BilinearGrid(</t>
    </r>
    <r>
      <rPr>
        <b/>
        <i/>
        <sz val="12"/>
        <color theme="1"/>
        <rFont val="Arial"/>
        <family val="2"/>
      </rPr>
      <t>x', y', x values, y values, z values, z value x as rows</t>
    </r>
    <r>
      <rPr>
        <b/>
        <sz val="12"/>
        <color theme="1"/>
        <rFont val="Arial"/>
        <family val="2"/>
      </rPr>
      <t xml:space="preserve">) = </t>
    </r>
    <r>
      <rPr>
        <b/>
        <i/>
        <sz val="12"/>
        <color theme="1"/>
        <rFont val="Arial"/>
        <family val="2"/>
      </rPr>
      <t>z'</t>
    </r>
  </si>
  <si>
    <t>The 'z value x as rows' by default is TRUE, which means the Z range rows = X axis and columns = Y axis. Use False to transpose.</t>
  </si>
  <si>
    <r>
      <t>Interpolate_Multilinear(</t>
    </r>
    <r>
      <rPr>
        <b/>
        <i/>
        <sz val="12"/>
        <color theme="1"/>
        <rFont val="Arial"/>
        <family val="2"/>
      </rPr>
      <t>x', x values, y values</t>
    </r>
    <r>
      <rPr>
        <b/>
        <sz val="12"/>
        <color theme="1"/>
        <rFont val="Arial"/>
        <family val="2"/>
      </rPr>
      <t>) =</t>
    </r>
    <r>
      <rPr>
        <b/>
        <i/>
        <sz val="12"/>
        <color theme="1"/>
        <rFont val="Arial"/>
        <family val="2"/>
      </rPr>
      <t xml:space="preserve"> y'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</si>
</sst>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2"/>
      <color theme="1"/>
      <name val="Arial"/>
      <family val="2"/>
    </font>
    <font>
      <b/>
      <u/>
      <sz val="9"/>
      <color theme="1"/>
      <name val="Arial"/>
      <family val="2"/>
    </font>
    <font>
      <i/>
      <sz val="9"/>
      <color theme="1"/>
      <name val="Arial"/>
      <family val="2"/>
    </font>
    <font>
      <b/>
      <i/>
      <sz val="12"/>
      <color theme="1"/>
      <name val="Arial"/>
      <family val="2"/>
    </font>
    <font>
      <b/>
      <i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5" xfId="0" applyBorder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Multilinear Interpolate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Multilinear!$C$16:$C$24</c:f>
              <c:numCache>
                <c:formatCode>General</c:formatCode>
                <c:ptCount val="9"/>
                <c:pt idx="0">
                  <c:v>0</c:v>
                </c:pt>
                <c:pt idx="1">
                  <c:v>1.2</c:v>
                </c:pt>
                <c:pt idx="2">
                  <c:v>3.1</c:v>
                </c:pt>
                <c:pt idx="3">
                  <c:v>4</c:v>
                </c:pt>
                <c:pt idx="4">
                  <c:v>5.6</c:v>
                </c:pt>
                <c:pt idx="5">
                  <c:v>8</c:v>
                </c:pt>
                <c:pt idx="6">
                  <c:v>9.1</c:v>
                </c:pt>
                <c:pt idx="7">
                  <c:v>12</c:v>
                </c:pt>
                <c:pt idx="8">
                  <c:v>13.7</c:v>
                </c:pt>
              </c:numCache>
            </c:numRef>
          </c:xVal>
          <c:yVal>
            <c:numRef>
              <c:f>Multilinear!$D$16:$D$24</c:f>
              <c:numCache>
                <c:formatCode>General</c:formatCode>
                <c:ptCount val="9"/>
                <c:pt idx="0">
                  <c:v>-5</c:v>
                </c:pt>
                <c:pt idx="1">
                  <c:v>-7</c:v>
                </c:pt>
                <c:pt idx="2">
                  <c:v>-13</c:v>
                </c:pt>
                <c:pt idx="3">
                  <c:v>13</c:v>
                </c:pt>
                <c:pt idx="4">
                  <c:v>-1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16-4C40-9243-A717B72C021E}"/>
            </c:ext>
          </c:extLst>
        </c:ser>
        <c:ser>
          <c:idx val="1"/>
          <c:order val="1"/>
          <c:tx>
            <c:v>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12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Multilinear!$C$14:$C$14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Multilinear!$E$14:$E$14</c:f>
              <c:numCache>
                <c:formatCode>General</c:formatCode>
                <c:ptCount val="1"/>
                <c:pt idx="0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16-4C40-9243-A717B72C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678543"/>
        <c:axId val="961285135"/>
      </c:scatterChart>
      <c:valAx>
        <c:axId val="980678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285135"/>
        <c:crosses val="autoZero"/>
        <c:crossBetween val="midCat"/>
      </c:valAx>
      <c:valAx>
        <c:axId val="96128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678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157957</xdr:colOff>
      <xdr:row>4</xdr:row>
      <xdr:rowOff>116205</xdr:rowOff>
    </xdr:from>
    <xdr:to>
      <xdr:col>35</xdr:col>
      <xdr:colOff>266701</xdr:colOff>
      <xdr:row>17</xdr:row>
      <xdr:rowOff>64109</xdr:rowOff>
    </xdr:to>
    <xdr:pic>
      <xdr:nvPicPr>
        <xdr:cNvPr id="3" name="Picture 2" descr="A black background with white dots&#10;&#10;Description automatically generated">
          <a:extLst>
            <a:ext uri="{FF2B5EF4-FFF2-40B4-BE49-F238E27FC236}">
              <a16:creationId xmlns:a16="http://schemas.microsoft.com/office/drawing/2014/main" id="{7F82B4D1-BA56-0927-3A84-E23C6B61E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957" y="748665"/>
          <a:ext cx="5938044" cy="1845284"/>
        </a:xfrm>
        <a:prstGeom prst="rect">
          <a:avLst/>
        </a:prstGeom>
      </xdr:spPr>
    </xdr:pic>
    <xdr:clientData/>
  </xdr:twoCellAnchor>
  <xdr:twoCellAnchor>
    <xdr:from>
      <xdr:col>6</xdr:col>
      <xdr:colOff>99059</xdr:colOff>
      <xdr:row>3</xdr:row>
      <xdr:rowOff>133350</xdr:rowOff>
    </xdr:from>
    <xdr:to>
      <xdr:col>17</xdr:col>
      <xdr:colOff>382904</xdr:colOff>
      <xdr:row>24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11622C-53FF-9CB5-A622-CA275C340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22</xdr:row>
      <xdr:rowOff>129540</xdr:rowOff>
    </xdr:from>
    <xdr:to>
      <xdr:col>7</xdr:col>
      <xdr:colOff>144780</xdr:colOff>
      <xdr:row>24</xdr:row>
      <xdr:rowOff>106680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E309D765-033E-C501-0CA7-9840186CB339}"/>
            </a:ext>
          </a:extLst>
        </xdr:cNvPr>
        <xdr:cNvGrpSpPr/>
      </xdr:nvGrpSpPr>
      <xdr:grpSpPr>
        <a:xfrm>
          <a:off x="2423160" y="3421380"/>
          <a:ext cx="1562100" cy="266700"/>
          <a:chOff x="2423160" y="1501140"/>
          <a:chExt cx="1562100" cy="266700"/>
        </a:xfrm>
      </xdr:grpSpPr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35C78799-0A20-1835-E709-8EEE4E3E5FCB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41FD3C3-9B9A-F69F-104D-EDBB7CF6473A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3</xdr:col>
      <xdr:colOff>190500</xdr:colOff>
      <xdr:row>25</xdr:row>
      <xdr:rowOff>0</xdr:rowOff>
    </xdr:from>
    <xdr:to>
      <xdr:col>3</xdr:col>
      <xdr:colOff>495300</xdr:colOff>
      <xdr:row>28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79CEB1B-A739-22AA-14FA-8F35569335D7}"/>
            </a:ext>
          </a:extLst>
        </xdr:cNvPr>
        <xdr:cNvGrpSpPr/>
      </xdr:nvGrpSpPr>
      <xdr:grpSpPr>
        <a:xfrm>
          <a:off x="1836420" y="3726180"/>
          <a:ext cx="304800" cy="464820"/>
          <a:chOff x="1836420" y="1805940"/>
          <a:chExt cx="304800" cy="457200"/>
        </a:xfrm>
      </xdr:grpSpPr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93A7BDE3-AFEF-4910-A939-08F2FD2F402A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DDB0E183-E3B5-42CF-B9BA-1BCDFB906DC8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3</xdr:col>
      <xdr:colOff>182880</xdr:colOff>
      <xdr:row>10</xdr:row>
      <xdr:rowOff>0</xdr:rowOff>
    </xdr:from>
    <xdr:to>
      <xdr:col>3</xdr:col>
      <xdr:colOff>487680</xdr:colOff>
      <xdr:row>13</xdr:row>
      <xdr:rowOff>15240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8718E269-1B67-4B42-973F-B3EEBB863A2F}"/>
            </a:ext>
          </a:extLst>
        </xdr:cNvPr>
        <xdr:cNvGrpSpPr/>
      </xdr:nvGrpSpPr>
      <xdr:grpSpPr>
        <a:xfrm>
          <a:off x="1828800" y="1524000"/>
          <a:ext cx="304800" cy="457200"/>
          <a:chOff x="1836420" y="1805940"/>
          <a:chExt cx="304800" cy="457200"/>
        </a:xfrm>
      </xdr:grpSpPr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CC8C1A72-34CF-030A-8C96-F0EF380DA9F4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14B0FA0D-B501-0389-ABE0-E6973E6CB128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4</xdr:col>
      <xdr:colOff>60960</xdr:colOff>
      <xdr:row>7</xdr:row>
      <xdr:rowOff>121920</xdr:rowOff>
    </xdr:from>
    <xdr:to>
      <xdr:col>6</xdr:col>
      <xdr:colOff>525780</xdr:colOff>
      <xdr:row>9</xdr:row>
      <xdr:rowOff>99060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A87BAC7-97BC-43C0-AC48-1B848034C6A0}"/>
            </a:ext>
          </a:extLst>
        </xdr:cNvPr>
        <xdr:cNvGrpSpPr/>
      </xdr:nvGrpSpPr>
      <xdr:grpSpPr>
        <a:xfrm>
          <a:off x="2255520" y="1203960"/>
          <a:ext cx="1562100" cy="266700"/>
          <a:chOff x="2423160" y="1501140"/>
          <a:chExt cx="1562100" cy="266700"/>
        </a:xfrm>
      </xdr:grpSpPr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B5A91A5E-21F2-CF8D-D03E-E5B85BFF2137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6995CF43-A3EE-246D-0E37-6BB66425BFFF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12</xdr:col>
      <xdr:colOff>182880</xdr:colOff>
      <xdr:row>9</xdr:row>
      <xdr:rowOff>91440</xdr:rowOff>
    </xdr:from>
    <xdr:to>
      <xdr:col>12</xdr:col>
      <xdr:colOff>487680</xdr:colOff>
      <xdr:row>12</xdr:row>
      <xdr:rowOff>99060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5464FF5B-0765-41C3-BEF9-CC024CBC332C}"/>
            </a:ext>
          </a:extLst>
        </xdr:cNvPr>
        <xdr:cNvGrpSpPr/>
      </xdr:nvGrpSpPr>
      <xdr:grpSpPr>
        <a:xfrm>
          <a:off x="6766560" y="1463040"/>
          <a:ext cx="304800" cy="457200"/>
          <a:chOff x="1836420" y="1805940"/>
          <a:chExt cx="304800" cy="457200"/>
        </a:xfrm>
      </xdr:grpSpPr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BA6954CB-2BEB-4AE7-DF0D-788B08485B7D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F251CF1B-1313-792C-2103-820424528B93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13</xdr:col>
      <xdr:colOff>53340</xdr:colOff>
      <xdr:row>7</xdr:row>
      <xdr:rowOff>106680</xdr:rowOff>
    </xdr:from>
    <xdr:to>
      <xdr:col>15</xdr:col>
      <xdr:colOff>518160</xdr:colOff>
      <xdr:row>9</xdr:row>
      <xdr:rowOff>83820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E593196F-54C5-44B4-816A-C047C27D32BD}"/>
            </a:ext>
          </a:extLst>
        </xdr:cNvPr>
        <xdr:cNvGrpSpPr/>
      </xdr:nvGrpSpPr>
      <xdr:grpSpPr>
        <a:xfrm>
          <a:off x="7185660" y="1188720"/>
          <a:ext cx="1562100" cy="266700"/>
          <a:chOff x="2423160" y="1501140"/>
          <a:chExt cx="1562100" cy="266700"/>
        </a:xfrm>
      </xdr:grpSpPr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777C2093-B73D-3E21-1D6E-A86256CA5238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4BC10BAF-111F-624F-9CD9-0D9DEC3A8B1F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12</xdr:col>
      <xdr:colOff>182880</xdr:colOff>
      <xdr:row>25</xdr:row>
      <xdr:rowOff>91440</xdr:rowOff>
    </xdr:from>
    <xdr:to>
      <xdr:col>12</xdr:col>
      <xdr:colOff>487680</xdr:colOff>
      <xdr:row>28</xdr:row>
      <xdr:rowOff>99060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41ECC95-556E-42C7-BB6E-DA8F1C6841A6}"/>
            </a:ext>
          </a:extLst>
        </xdr:cNvPr>
        <xdr:cNvGrpSpPr/>
      </xdr:nvGrpSpPr>
      <xdr:grpSpPr>
        <a:xfrm>
          <a:off x="6766560" y="3817620"/>
          <a:ext cx="304800" cy="457200"/>
          <a:chOff x="1836420" y="1805940"/>
          <a:chExt cx="304800" cy="457200"/>
        </a:xfrm>
      </xdr:grpSpPr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D91135F9-8762-2005-23D3-7C12753B0915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DAA50842-E26F-B6B0-831F-058D45A4611A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13</xdr:col>
      <xdr:colOff>53340</xdr:colOff>
      <xdr:row>23</xdr:row>
      <xdr:rowOff>106680</xdr:rowOff>
    </xdr:from>
    <xdr:to>
      <xdr:col>15</xdr:col>
      <xdr:colOff>518160</xdr:colOff>
      <xdr:row>25</xdr:row>
      <xdr:rowOff>83820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31BD80A-5E96-49A3-8B50-1D3BA9DABB29}"/>
            </a:ext>
          </a:extLst>
        </xdr:cNvPr>
        <xdr:cNvGrpSpPr/>
      </xdr:nvGrpSpPr>
      <xdr:grpSpPr>
        <a:xfrm>
          <a:off x="7185660" y="3543300"/>
          <a:ext cx="1562100" cy="266700"/>
          <a:chOff x="2423160" y="1501140"/>
          <a:chExt cx="1562100" cy="266700"/>
        </a:xfrm>
      </xdr:grpSpPr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ACBCFC8D-1794-786E-4C3E-65B711A15C9B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CAB8AB42-9785-9103-DCDA-A38DF99D1912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17</xdr:col>
      <xdr:colOff>342900</xdr:colOff>
      <xdr:row>25</xdr:row>
      <xdr:rowOff>30480</xdr:rowOff>
    </xdr:from>
    <xdr:to>
      <xdr:col>21</xdr:col>
      <xdr:colOff>53340</xdr:colOff>
      <xdr:row>31</xdr:row>
      <xdr:rowOff>30480</xdr:rowOff>
    </xdr:to>
    <xdr:sp macro="" textlink="">
      <xdr:nvSpPr>
        <xdr:cNvPr id="43" name="Speech Bubble: Rectangle with Corners Rounded 42">
          <a:extLst>
            <a:ext uri="{FF2B5EF4-FFF2-40B4-BE49-F238E27FC236}">
              <a16:creationId xmlns:a16="http://schemas.microsoft.com/office/drawing/2014/main" id="{FCF15131-F40F-CFC1-334C-575BCB2601FA}"/>
            </a:ext>
          </a:extLst>
        </xdr:cNvPr>
        <xdr:cNvSpPr/>
      </xdr:nvSpPr>
      <xdr:spPr>
        <a:xfrm>
          <a:off x="9669780" y="1836420"/>
          <a:ext cx="1905000" cy="891540"/>
        </a:xfrm>
        <a:prstGeom prst="wedgeRoundRectCallout">
          <a:avLst>
            <a:gd name="adj1" fmla="val -70791"/>
            <a:gd name="adj2" fmla="val 41133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Note that</a:t>
          </a:r>
          <a:r>
            <a:rPr lang="en-US" sz="1100" baseline="0"/>
            <a:t> the last argument is FALSE, in order to transpose the x- and y- axes of the Z range.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BAA7-EEEA-4362-990A-459972B19E4B}">
  <sheetPr codeName="Sheet1"/>
  <dimension ref="A1:E24"/>
  <sheetViews>
    <sheetView showGridLines="0" tabSelected="1" workbookViewId="0">
      <selection activeCell="F8" sqref="F8"/>
    </sheetView>
  </sheetViews>
  <sheetFormatPr defaultColWidth="6.375" defaultRowHeight="11.4" x14ac:dyDescent="0.2"/>
  <cols>
    <col min="5" max="5" width="8" customWidth="1"/>
    <col min="6" max="6" width="8.625" bestFit="1" customWidth="1"/>
    <col min="8" max="8" width="8.75" customWidth="1"/>
    <col min="9" max="10" width="8.25" bestFit="1" customWidth="1"/>
  </cols>
  <sheetData>
    <row r="1" spans="1:5" ht="15.6" x14ac:dyDescent="0.3">
      <c r="A1" s="4" t="s">
        <v>16</v>
      </c>
    </row>
    <row r="2" spans="1:5" x14ac:dyDescent="0.2">
      <c r="A2" t="s">
        <v>11</v>
      </c>
    </row>
    <row r="12" spans="1:5" x14ac:dyDescent="0.2">
      <c r="B12" s="1"/>
    </row>
    <row r="13" spans="1:5" ht="12" x14ac:dyDescent="0.25">
      <c r="C13" s="5" t="s">
        <v>0</v>
      </c>
      <c r="E13" s="5" t="s">
        <v>1</v>
      </c>
    </row>
    <row r="14" spans="1:5" x14ac:dyDescent="0.2">
      <c r="C14" s="24">
        <f ca="1">RANDBETWEEN(MIN(C16:C24),MAX(C16:C24))</f>
        <v>4</v>
      </c>
      <c r="D14" s="2" t="s">
        <v>6</v>
      </c>
      <c r="E14" s="2" cm="1">
        <f t="array" aca="1" ref="E14" ca="1">Interpolate_Multilinear(C14,C16:C24,D16:D24)</f>
        <v>13</v>
      </c>
    </row>
    <row r="16" spans="1:5" ht="12" x14ac:dyDescent="0.25">
      <c r="B16" s="16" t="s">
        <v>4</v>
      </c>
      <c r="C16" s="17">
        <v>0</v>
      </c>
      <c r="D16" s="20">
        <f ca="1">RANDBETWEEN(-13,16)</f>
        <v>-5</v>
      </c>
      <c r="E16" s="23" t="s">
        <v>3</v>
      </c>
    </row>
    <row r="17" spans="3:4" x14ac:dyDescent="0.2">
      <c r="C17" s="18">
        <v>1.2</v>
      </c>
      <c r="D17" s="21">
        <f t="shared" ref="D17:D24" ca="1" si="0">RANDBETWEEN(-13,16)</f>
        <v>-7</v>
      </c>
    </row>
    <row r="18" spans="3:4" x14ac:dyDescent="0.2">
      <c r="C18" s="18">
        <v>3.1</v>
      </c>
      <c r="D18" s="21">
        <f t="shared" ca="1" si="0"/>
        <v>-13</v>
      </c>
    </row>
    <row r="19" spans="3:4" x14ac:dyDescent="0.2">
      <c r="C19" s="18">
        <v>4</v>
      </c>
      <c r="D19" s="21">
        <f t="shared" ca="1" si="0"/>
        <v>13</v>
      </c>
    </row>
    <row r="20" spans="3:4" x14ac:dyDescent="0.2">
      <c r="C20" s="18">
        <v>5.6</v>
      </c>
      <c r="D20" s="21">
        <f t="shared" ca="1" si="0"/>
        <v>-1</v>
      </c>
    </row>
    <row r="21" spans="3:4" x14ac:dyDescent="0.2">
      <c r="C21" s="18">
        <v>8</v>
      </c>
      <c r="D21" s="21">
        <f t="shared" ca="1" si="0"/>
        <v>5</v>
      </c>
    </row>
    <row r="22" spans="3:4" x14ac:dyDescent="0.2">
      <c r="C22" s="18">
        <v>9.1</v>
      </c>
      <c r="D22" s="21">
        <f t="shared" ca="1" si="0"/>
        <v>2</v>
      </c>
    </row>
    <row r="23" spans="3:4" x14ac:dyDescent="0.2">
      <c r="C23" s="18">
        <v>12</v>
      </c>
      <c r="D23" s="21">
        <f t="shared" ca="1" si="0"/>
        <v>4</v>
      </c>
    </row>
    <row r="24" spans="3:4" x14ac:dyDescent="0.2">
      <c r="C24" s="19">
        <v>13.7</v>
      </c>
      <c r="D24" s="22">
        <f t="shared" ca="1" si="0"/>
        <v>-10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1C7A-131A-4DF4-A003-47D4BF6D059D}">
  <sheetPr codeName="Sheet2"/>
  <dimension ref="A1:Q31"/>
  <sheetViews>
    <sheetView showGridLines="0" workbookViewId="0">
      <selection activeCell="N4" sqref="N4"/>
    </sheetView>
  </sheetViews>
  <sheetFormatPr defaultRowHeight="11.4" x14ac:dyDescent="0.2"/>
  <cols>
    <col min="1" max="16384" width="9" style="2"/>
  </cols>
  <sheetData>
    <row r="1" spans="1:17" ht="15.6" x14ac:dyDescent="0.3">
      <c r="A1" s="4" t="s">
        <v>14</v>
      </c>
    </row>
    <row r="2" spans="1:17" x14ac:dyDescent="0.2">
      <c r="A2" t="s">
        <v>12</v>
      </c>
    </row>
    <row r="3" spans="1:17" x14ac:dyDescent="0.2">
      <c r="A3" t="s">
        <v>15</v>
      </c>
    </row>
    <row r="4" spans="1:17" x14ac:dyDescent="0.2">
      <c r="A4"/>
    </row>
    <row r="5" spans="1:17" ht="12" x14ac:dyDescent="0.25">
      <c r="A5" s="34" t="s">
        <v>7</v>
      </c>
    </row>
    <row r="6" spans="1:17" ht="12" x14ac:dyDescent="0.25">
      <c r="E6" s="27" t="s">
        <v>3</v>
      </c>
    </row>
    <row r="7" spans="1:17" x14ac:dyDescent="0.2">
      <c r="E7" s="28">
        <v>20</v>
      </c>
      <c r="F7" s="29">
        <v>21</v>
      </c>
      <c r="G7" s="30">
        <v>22</v>
      </c>
    </row>
    <row r="8" spans="1:17" x14ac:dyDescent="0.2">
      <c r="K8" s="39" t="s">
        <v>13</v>
      </c>
    </row>
    <row r="10" spans="1:17" ht="12" x14ac:dyDescent="0.25">
      <c r="K10" s="12" t="s">
        <v>4</v>
      </c>
      <c r="L10" s="27" t="s">
        <v>3</v>
      </c>
    </row>
    <row r="11" spans="1:17" ht="12" x14ac:dyDescent="0.25">
      <c r="B11" s="25" t="s">
        <v>4</v>
      </c>
      <c r="C11" s="26">
        <v>14</v>
      </c>
      <c r="E11" s="31">
        <v>91</v>
      </c>
      <c r="F11" s="7">
        <v>162</v>
      </c>
      <c r="G11" s="7">
        <v>50</v>
      </c>
      <c r="H11" s="6" t="s">
        <v>2</v>
      </c>
      <c r="K11" s="21">
        <v>14</v>
      </c>
      <c r="L11" s="18">
        <v>20</v>
      </c>
      <c r="N11" s="31">
        <v>91</v>
      </c>
      <c r="O11" s="7">
        <v>162</v>
      </c>
      <c r="P11" s="6" t="s">
        <v>2</v>
      </c>
    </row>
    <row r="12" spans="1:17" x14ac:dyDescent="0.2">
      <c r="C12" s="21">
        <v>15</v>
      </c>
      <c r="E12" s="32">
        <v>210</v>
      </c>
      <c r="F12" s="8">
        <v>95</v>
      </c>
      <c r="G12" s="9">
        <v>30</v>
      </c>
      <c r="K12" s="21">
        <v>15</v>
      </c>
      <c r="L12" s="19">
        <v>21</v>
      </c>
      <c r="N12" s="32">
        <v>210</v>
      </c>
      <c r="O12" s="8">
        <v>95</v>
      </c>
      <c r="P12" s="36"/>
    </row>
    <row r="13" spans="1:17" x14ac:dyDescent="0.2">
      <c r="C13" s="22">
        <v>16</v>
      </c>
      <c r="E13" s="33">
        <v>50</v>
      </c>
      <c r="F13" s="10">
        <v>120</v>
      </c>
      <c r="G13" s="11">
        <v>-10</v>
      </c>
      <c r="K13" s="22">
        <v>16</v>
      </c>
      <c r="N13" s="33">
        <v>50</v>
      </c>
      <c r="O13" s="10">
        <v>120</v>
      </c>
      <c r="P13" s="37"/>
    </row>
    <row r="14" spans="1:17" x14ac:dyDescent="0.2">
      <c r="C14"/>
      <c r="E14"/>
      <c r="F14"/>
      <c r="G14"/>
      <c r="H14"/>
    </row>
    <row r="15" spans="1:17" ht="12" x14ac:dyDescent="0.25">
      <c r="E15" s="5" t="s">
        <v>0</v>
      </c>
      <c r="F15" s="5" t="s">
        <v>1</v>
      </c>
      <c r="H15" s="5" t="s">
        <v>5</v>
      </c>
      <c r="N15" s="5" t="s">
        <v>0</v>
      </c>
      <c r="O15" s="5" t="s">
        <v>1</v>
      </c>
      <c r="Q15" s="5" t="s">
        <v>5</v>
      </c>
    </row>
    <row r="16" spans="1:17" x14ac:dyDescent="0.2">
      <c r="E16" s="3">
        <v>14.5</v>
      </c>
      <c r="F16" s="3">
        <v>20.2</v>
      </c>
      <c r="G16" s="2" t="s">
        <v>6</v>
      </c>
      <c r="H16" s="2" cm="1">
        <f t="array" ref="H16">Interpolate_BilinearGrid(E16,F16,C11:C13,E7:G7,E11:G13)</f>
        <v>146.10000000000002</v>
      </c>
      <c r="N16" s="3">
        <v>14.5</v>
      </c>
      <c r="O16" s="3">
        <v>20.2</v>
      </c>
      <c r="P16" s="2" t="s">
        <v>6</v>
      </c>
      <c r="Q16" s="2" cm="1">
        <f t="array" ref="Q16">Interpolate_BilinearGrid(N16,O16,K11:K13,L11:L12,N11:O13)</f>
        <v>146.10000000000002</v>
      </c>
    </row>
    <row r="20" spans="1:17" ht="12" x14ac:dyDescent="0.25">
      <c r="A20" s="35" t="s">
        <v>8</v>
      </c>
    </row>
    <row r="21" spans="1:17" ht="12" x14ac:dyDescent="0.25">
      <c r="A21" s="38" t="s">
        <v>9</v>
      </c>
      <c r="E21" s="12" t="s">
        <v>4</v>
      </c>
    </row>
    <row r="22" spans="1:17" x14ac:dyDescent="0.2">
      <c r="A22" s="38" t="s">
        <v>10</v>
      </c>
      <c r="E22" s="13">
        <v>14</v>
      </c>
      <c r="F22" s="14">
        <v>15</v>
      </c>
      <c r="G22" s="15">
        <v>16</v>
      </c>
    </row>
    <row r="24" spans="1:17" x14ac:dyDescent="0.2">
      <c r="K24" s="39" t="s">
        <v>13</v>
      </c>
    </row>
    <row r="26" spans="1:17" ht="12" x14ac:dyDescent="0.25">
      <c r="B26" s="16" t="s">
        <v>3</v>
      </c>
      <c r="C26" s="17">
        <v>20</v>
      </c>
      <c r="E26" s="31">
        <v>91</v>
      </c>
      <c r="F26" s="7">
        <v>162</v>
      </c>
      <c r="G26" s="7">
        <v>50</v>
      </c>
      <c r="H26" s="6" t="s">
        <v>2</v>
      </c>
      <c r="K26" s="12" t="s">
        <v>4</v>
      </c>
      <c r="L26" s="27" t="s">
        <v>3</v>
      </c>
    </row>
    <row r="27" spans="1:17" ht="12" x14ac:dyDescent="0.25">
      <c r="C27" s="18">
        <v>21</v>
      </c>
      <c r="E27" s="32">
        <v>210</v>
      </c>
      <c r="F27" s="8">
        <v>95</v>
      </c>
      <c r="G27" s="9">
        <v>30</v>
      </c>
      <c r="K27" s="21">
        <v>14</v>
      </c>
      <c r="L27" s="18">
        <v>20</v>
      </c>
      <c r="N27" s="31">
        <v>91</v>
      </c>
      <c r="O27" s="7">
        <v>210</v>
      </c>
      <c r="P27" s="7">
        <v>50</v>
      </c>
      <c r="Q27" s="6" t="s">
        <v>2</v>
      </c>
    </row>
    <row r="28" spans="1:17" x14ac:dyDescent="0.2">
      <c r="C28" s="19">
        <v>22</v>
      </c>
      <c r="E28" s="33">
        <v>50</v>
      </c>
      <c r="F28" s="10">
        <v>120</v>
      </c>
      <c r="G28" s="11">
        <v>-10</v>
      </c>
      <c r="K28" s="21">
        <v>15</v>
      </c>
      <c r="L28" s="19">
        <v>21</v>
      </c>
      <c r="N28" s="33">
        <v>162</v>
      </c>
      <c r="O28" s="10">
        <v>95</v>
      </c>
      <c r="P28" s="11">
        <v>120</v>
      </c>
    </row>
    <row r="29" spans="1:17" x14ac:dyDescent="0.2">
      <c r="K29" s="22">
        <v>16</v>
      </c>
    </row>
    <row r="30" spans="1:17" ht="12" x14ac:dyDescent="0.25">
      <c r="E30" s="5" t="s">
        <v>0</v>
      </c>
      <c r="F30" s="5" t="s">
        <v>1</v>
      </c>
      <c r="H30" s="5" t="s">
        <v>5</v>
      </c>
      <c r="N30" s="5" t="s">
        <v>0</v>
      </c>
      <c r="O30" s="5" t="s">
        <v>1</v>
      </c>
      <c r="Q30" s="5" t="s">
        <v>5</v>
      </c>
    </row>
    <row r="31" spans="1:17" x14ac:dyDescent="0.2">
      <c r="E31" s="3">
        <v>14.5</v>
      </c>
      <c r="F31" s="3">
        <v>20.2</v>
      </c>
      <c r="G31" s="2" t="s">
        <v>6</v>
      </c>
      <c r="H31" s="2" cm="1">
        <f t="array" ref="H31">Interpolate_BilinearGrid(E31,F31,E22:G22,C26:C28,E26:G28)</f>
        <v>146.10000000000002</v>
      </c>
      <c r="N31" s="3">
        <v>14.5</v>
      </c>
      <c r="O31" s="3">
        <v>20.2</v>
      </c>
      <c r="P31" s="2" t="s">
        <v>6</v>
      </c>
      <c r="Q31" s="2" cm="1">
        <f t="array" ref="Q31">Interpolate_BilinearGrid(N31,O31,K27:K29,L27:L28,N27:P28,FALSE)</f>
        <v>146.10000000000002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Multilinear</vt:lpstr>
      <vt:lpstr>Bilinear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Fisher</dc:creator>
  <cp:lastModifiedBy>Ben Fisher</cp:lastModifiedBy>
  <dcterms:created xsi:type="dcterms:W3CDTF">2023-09-21T00:22:28Z</dcterms:created>
  <dcterms:modified xsi:type="dcterms:W3CDTF">2023-09-21T16:56:23Z</dcterms:modified>
</cp:coreProperties>
</file>