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7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drawings/drawing9.xml" ContentType="application/vnd.openxmlformats-officedocument.drawing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10.xml" ContentType="application/vnd.openxmlformats-officedocument.drawing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drawings/drawing11.xml" ContentType="application/vnd.openxmlformats-officedocument.drawing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12.xml" ContentType="application/vnd.openxmlformats-officedocument.drawing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drawings/drawing13.xml" ContentType="application/vnd.openxmlformats-officedocument.drawing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drawings/drawing14.xml" ContentType="application/vnd.openxmlformats-officedocument.drawing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drawings/drawing15.xml" ContentType="application/vnd.openxmlformats-officedocument.drawing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drawings/drawing16.xml" ContentType="application/vnd.openxmlformats-officedocument.drawing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17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drawings/drawing18.xml" ContentType="application/vnd.openxmlformats-officedocument.drawing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drawings/drawing19.xml" ContentType="application/vnd.openxmlformats-officedocument.drawing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drawings/drawing20.xml" ContentType="application/vnd.openxmlformats-officedocument.drawing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drawings/drawing21.xml" ContentType="application/vnd.openxmlformats-officedocument.drawing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drawings/drawing22.xml" ContentType="application/vnd.openxmlformats-officedocument.drawing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drawings/drawing23.xml" ContentType="application/vnd.openxmlformats-officedocument.drawing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drawings/drawing24.xml" ContentType="application/vnd.openxmlformats-officedocument.drawing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drawings/drawing25.xml" ContentType="application/vnd.openxmlformats-officedocument.drawing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drawings/drawing26.xml" ContentType="application/vnd.openxmlformats-officedocument.drawing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drawings/drawing27.xml" ContentType="application/vnd.openxmlformats-officedocument.drawing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drawings/drawing28.xml" ContentType="application/vnd.openxmlformats-officedocument.drawing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drawings/drawing29.xml" ContentType="application/vnd.openxmlformats-officedocument.drawing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drawings/drawing30.xml" ContentType="application/vnd.openxmlformats-officedocument.drawing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drawings/drawing31.xml" ContentType="application/vnd.openxmlformats-officedocument.drawing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drawings/drawing32.xml" ContentType="application/vnd.openxmlformats-officedocument.drawing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2ee9bsf\Documents\00 Projects\_Project List\"/>
    </mc:Choice>
  </mc:AlternateContent>
  <xr:revisionPtr revIDLastSave="0" documentId="13_ncr:1_{4FCF7492-862D-47F5-8DD5-A894182CEE1F}" xr6:coauthVersionLast="47" xr6:coauthVersionMax="47" xr10:uidLastSave="{00000000-0000-0000-0000-000000000000}"/>
  <bookViews>
    <workbookView xWindow="-120" yWindow="-90" windowWidth="25440" windowHeight="15240" tabRatio="897" firstSheet="3" activeTab="3" xr2:uid="{23808EB1-C75C-4ED2-A2FC-08F15DA162E0}"/>
  </bookViews>
  <sheets>
    <sheet name="rsx" sheetId="1" state="veryHidden" r:id="rId1"/>
    <sheet name="template" sheetId="28" state="veryHidden" r:id="rId2"/>
    <sheet name="Icon" sheetId="73" state="veryHidden" r:id="rId3"/>
    <sheet name="JP8" sheetId="29" r:id="rId4"/>
    <sheet name="KAW Mun" sheetId="31" state="hidden" r:id="rId5"/>
    <sheet name="B1585 DIPC" sheetId="30" r:id="rId6"/>
    <sheet name="SGD B122" sheetId="32" r:id="rId7"/>
    <sheet name="SGD AFFF" sheetId="66" r:id="rId8"/>
    <sheet name="Kure B100" sheetId="33" r:id="rId9"/>
    <sheet name="Kure B200" sheetId="68" r:id="rId10"/>
    <sheet name="YND BrE" sheetId="34" r:id="rId11"/>
    <sheet name="AFH 971" sheetId="35" r:id="rId12"/>
    <sheet name="_B3660" sheetId="36" state="hidden" r:id="rId13"/>
    <sheet name="Muns B45110" sheetId="37" state="hidden" r:id="rId14"/>
    <sheet name="H524 SOQ" sheetId="38" state="hidden" r:id="rId15"/>
    <sheet name="P1024 Dehum" sheetId="39" r:id="rId16"/>
    <sheet name="_Lanham ES" sheetId="40" state="hidden" r:id="rId17"/>
    <sheet name="H2406 WHR" sheetId="41" r:id="rId18"/>
    <sheet name="P530" sheetId="42" r:id="rId19"/>
    <sheet name="Fuji" sheetId="44" state="hidden" r:id="rId20"/>
    <sheet name="_AFVQ" sheetId="45" state="hidden" r:id="rId21"/>
    <sheet name="SACC" sheetId="47" state="hidden" r:id="rId22"/>
    <sheet name="B743SoT" sheetId="65" state="hidden" r:id="rId23"/>
    <sheet name="PAIP10-1" sheetId="46" r:id="rId24"/>
    <sheet name="PAIP10-2" sheetId="49" state="hidden" r:id="rId25"/>
    <sheet name="PAIP10-3" sheetId="50" state="hidden" r:id="rId26"/>
    <sheet name="NoPond" sheetId="60" state="hidden" r:id="rId27"/>
    <sheet name="RepC130" sheetId="61" state="hidden" r:id="rId28"/>
    <sheet name="B1012" sheetId="62" state="hidden" r:id="rId29"/>
    <sheet name="B410" sheetId="63" state="hidden" r:id="rId30"/>
    <sheet name="Sollars" sheetId="64" r:id="rId31"/>
    <sheet name="DISA" sheetId="67" r:id="rId32"/>
  </sheets>
  <functionGroups builtInGroupCount="19"/>
  <definedNames>
    <definedName name="_xleta.R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41" l="1"/>
  <c r="G13" i="41"/>
  <c r="O23" i="47"/>
  <c r="M22" i="47"/>
  <c r="M23" i="47"/>
  <c r="M24" i="47" s="1"/>
</calcChain>
</file>

<file path=xl/sharedStrings.xml><?xml version="1.0" encoding="utf-8"?>
<sst xmlns="http://schemas.openxmlformats.org/spreadsheetml/2006/main" count="2796" uniqueCount="566">
  <si>
    <t>Comment</t>
  </si>
  <si>
    <t>X</t>
  </si>
  <si>
    <t>Show</t>
  </si>
  <si>
    <t>Parameter</t>
  </si>
  <si>
    <t>Project Name</t>
  </si>
  <si>
    <t>P2</t>
  </si>
  <si>
    <t>PA</t>
  </si>
  <si>
    <t>CWE/ECC</t>
  </si>
  <si>
    <t>JES?</t>
  </si>
  <si>
    <t>Value</t>
  </si>
  <si>
    <t>Project Info</t>
  </si>
  <si>
    <t>Role</t>
  </si>
  <si>
    <t>TL</t>
  </si>
  <si>
    <t>PM</t>
  </si>
  <si>
    <t>DM</t>
  </si>
  <si>
    <t>A/E</t>
  </si>
  <si>
    <t>Civ</t>
  </si>
  <si>
    <t>Str</t>
  </si>
  <si>
    <t>Arch</t>
  </si>
  <si>
    <t>Mech</t>
  </si>
  <si>
    <t>Elec</t>
  </si>
  <si>
    <t>FPE</t>
  </si>
  <si>
    <t>Cyber</t>
  </si>
  <si>
    <t>Env</t>
  </si>
  <si>
    <t>Sust</t>
  </si>
  <si>
    <t>Cost</t>
  </si>
  <si>
    <t>TS</t>
  </si>
  <si>
    <t>MCX</t>
  </si>
  <si>
    <t>Person</t>
  </si>
  <si>
    <t>Project Team</t>
  </si>
  <si>
    <t>VE</t>
  </si>
  <si>
    <t>Critical Issues/Updates Table</t>
  </si>
  <si>
    <t>Client</t>
  </si>
  <si>
    <t>Funding</t>
  </si>
  <si>
    <t>Contract</t>
  </si>
  <si>
    <t>Watermark</t>
  </si>
  <si>
    <t>FY20 DLA ZNRE172533 Sec Contain JP8 Rail Offload YAB</t>
  </si>
  <si>
    <t>491868</t>
  </si>
  <si>
    <t>CWE ≤ ECC</t>
  </si>
  <si>
    <t>Yes</t>
  </si>
  <si>
    <t>MILCON</t>
  </si>
  <si>
    <t>DBB</t>
  </si>
  <si>
    <t>B Fisher</t>
  </si>
  <si>
    <t>B Foster</t>
  </si>
  <si>
    <t>G Tamashiro</t>
  </si>
  <si>
    <t>AECOM</t>
  </si>
  <si>
    <t>K Yoshida</t>
  </si>
  <si>
    <t>J Reyes</t>
  </si>
  <si>
    <t>N/A</t>
  </si>
  <si>
    <t>S Asiamah</t>
  </si>
  <si>
    <t>L Stevens</t>
  </si>
  <si>
    <t>A Boshti</t>
  </si>
  <si>
    <t>S Edquiban</t>
  </si>
  <si>
    <t>Concept Submittal rejected/resubmitted 5 weeks later (25 Sept): original submittal missing QC docs and concept estimates, incomplete DA.</t>
  </si>
  <si>
    <t>Resubmitted version (25 Sept) still minimal and error-ridden. DCR/ITR signature sheets only. Submittal content so insufficient that several stakeholders notified PM they cannot provide any feedback</t>
  </si>
  <si>
    <t>Given size/scope of project, the intermediate design stage was eliminated from the contract. Design will jump from concept to final submittal.</t>
  </si>
  <si>
    <t xml:space="preserve">Upcoming coordination meeting with JR freight to get feedback and buy-off (date TBD, early January). </t>
  </si>
  <si>
    <t>AE continues to delay final submittal, currently 3 weeks past previous target submittal date (coordinating to determine updated scheduled)</t>
  </si>
  <si>
    <t>Content lacking with each submittal. Final submittal 3 weeks late.</t>
  </si>
  <si>
    <t>Final design submittal – content still lacking and undercoordinated.</t>
  </si>
  <si>
    <t>Coordination meeting with JRF was cancelled (to be rescheduled later)</t>
  </si>
  <si>
    <t>ID</t>
  </si>
  <si>
    <t>Task</t>
  </si>
  <si>
    <t>Mtg or Submittal</t>
  </si>
  <si>
    <t>Review Start</t>
  </si>
  <si>
    <t>End</t>
  </si>
  <si>
    <t>Kickoff</t>
  </si>
  <si>
    <t>Charette</t>
  </si>
  <si>
    <t xml:space="preserve">  ├ Draft PDCR</t>
  </si>
  <si>
    <t xml:space="preserve">  ├ Final</t>
  </si>
  <si>
    <t xml:space="preserve">  └ Backcheck</t>
  </si>
  <si>
    <t>Concept</t>
  </si>
  <si>
    <t xml:space="preserve">  └ OBR</t>
  </si>
  <si>
    <t>Intermediate</t>
  </si>
  <si>
    <t>Final</t>
  </si>
  <si>
    <t>Backcheck</t>
  </si>
  <si>
    <t>BCOES Cert</t>
  </si>
  <si>
    <t>RTA</t>
  </si>
  <si>
    <t>Advertise</t>
  </si>
  <si>
    <t>Project Scheduled</t>
  </si>
  <si>
    <t>TBD</t>
  </si>
  <si>
    <t>$12.92M</t>
  </si>
  <si>
    <t>SRM</t>
  </si>
  <si>
    <t>DHA</t>
  </si>
  <si>
    <t>S Miyashiro</t>
  </si>
  <si>
    <t>T Hillburn</t>
  </si>
  <si>
    <t>Y Chan</t>
  </si>
  <si>
    <t>Contract will be IFB</t>
  </si>
  <si>
    <t>Contractor pre-bid site visit occurred 26 March 2024</t>
  </si>
  <si>
    <t>May need to restaff PDT to respond to RFIs during bid phase.</t>
  </si>
  <si>
    <t>Pre-bid Site visit</t>
  </si>
  <si>
    <t>Award</t>
  </si>
  <si>
    <t>FY22 Repair Ammunition Facilities Kawakami</t>
  </si>
  <si>
    <t>$16M</t>
  </si>
  <si>
    <t>Marines</t>
  </si>
  <si>
    <t>J Takimoto</t>
  </si>
  <si>
    <t>FY23 OMA Fire Protection Upgrades B122-S1, SGD</t>
  </si>
  <si>
    <t>$6M</t>
  </si>
  <si>
    <t>Army</t>
  </si>
  <si>
    <t>FY24 OMA Repair B100 Kure Pier 6</t>
  </si>
  <si>
    <t>$12M</t>
  </si>
  <si>
    <t>J Mandawe</t>
  </si>
  <si>
    <t>Navy</t>
  </si>
  <si>
    <t>DPW</t>
  </si>
  <si>
    <t>$1.8M</t>
  </si>
  <si>
    <t>S Greaves</t>
  </si>
  <si>
    <t>G Church</t>
  </si>
  <si>
    <t>T Blackburn</t>
  </si>
  <si>
    <t>CWE ≥ ECC</t>
  </si>
  <si>
    <t>DB</t>
  </si>
  <si>
    <t>CWE ? ECC</t>
  </si>
  <si>
    <t>Z Kelsey</t>
  </si>
  <si>
    <t>J Tellez</t>
  </si>
  <si>
    <t>FY25 FSRM LXEZ191033 Repair Hangar B3660</t>
  </si>
  <si>
    <t>Air Force</t>
  </si>
  <si>
    <t>J Runge</t>
  </si>
  <si>
    <t>$47M</t>
  </si>
  <si>
    <t>Site Invest.</t>
  </si>
  <si>
    <t>Tier 1 Draft</t>
  </si>
  <si>
    <t>Tier 1 Final</t>
  </si>
  <si>
    <t>Tier 2 Draft</t>
  </si>
  <si>
    <t>Tier 2 Final</t>
  </si>
  <si>
    <t>Initial Tier 1 screening report recommended Tier 2 study</t>
  </si>
  <si>
    <t>Tier 2 report recommended the following seismic retrofits:</t>
  </si>
  <si>
    <t>AGE shear walls (infill 2 overhead doors)</t>
  </si>
  <si>
    <t>Demo unused cantilevered chimney (to eliminate fall hazard)</t>
  </si>
  <si>
    <t>Government currently review of the Tier 2 Final submittal</t>
  </si>
  <si>
    <t>CWE went from $4.7M to $12.3M (mostly driven by wind upgrades)</t>
  </si>
  <si>
    <t>SSFM</t>
  </si>
  <si>
    <t>A/E Selection</t>
  </si>
  <si>
    <t>35% Design Phase</t>
  </si>
  <si>
    <t>A/E finalizing updates from Tier 2 Final review comments.</t>
  </si>
  <si>
    <t>FY25 OMA Repair Muns Facility B45110 KAB</t>
  </si>
  <si>
    <t>$6.4M</t>
  </si>
  <si>
    <t>T Schlautman</t>
  </si>
  <si>
    <t>M Damo</t>
  </si>
  <si>
    <t>S Mitsuyuki</t>
  </si>
  <si>
    <t>FY26 H524 Senior Officer's Quarters, NAF Atsugi</t>
  </si>
  <si>
    <t>$7.46M</t>
  </si>
  <si>
    <t>S Higginbotham</t>
  </si>
  <si>
    <t>FY26 P1024 Install Dehumidification for Magazines, MCASI</t>
  </si>
  <si>
    <t>FY26 PA000228 Lanham ES Modernization</t>
  </si>
  <si>
    <t>$32M</t>
  </si>
  <si>
    <t>DoDEA</t>
  </si>
  <si>
    <t>Draft PDA</t>
  </si>
  <si>
    <t>Final PDA</t>
  </si>
  <si>
    <t xml:space="preserve">  └ Final</t>
  </si>
  <si>
    <t>Woolpert</t>
  </si>
  <si>
    <t>B Vencalek</t>
  </si>
  <si>
    <t>Contract mod in progress to add FF&amp;E &amp; parking lot to AE scope. Navy will provide FF&amp;E review and procurement services.</t>
  </si>
  <si>
    <t>A/E is responsible or Div 01.</t>
  </si>
  <si>
    <t>FY25 P904 Camp Fuji Microgrid</t>
  </si>
  <si>
    <t>PM will rescind the Directive (the project is current essentially at Code 0 phase)</t>
  </si>
  <si>
    <t>Air Force Visitor's Quarters</t>
  </si>
  <si>
    <t>R Davis</t>
  </si>
  <si>
    <t>Air Force wants to award, claiming they can award A/E faster than JED's DM group.</t>
  </si>
  <si>
    <t>JED provided SOW redlines to AF - still waiting to hear back.</t>
  </si>
  <si>
    <t>Incorporate Lessons Learned from FY23 AFH O&amp;M: 955-958, 983 project</t>
  </si>
  <si>
    <t>Include ECB 2023-08: electrification/decarbonization</t>
  </si>
  <si>
    <t>LCCA requirements not required</t>
  </si>
  <si>
    <t>DD 1391 prepared by DPW. DPW to incorporate markups as necessary.</t>
  </si>
  <si>
    <t>Client requested ERV in living/dining and bedrooms</t>
  </si>
  <si>
    <t>Concept OBR held 19 Mar 2024.</t>
  </si>
  <si>
    <t>Final OBR tenatively scheduled for 7 May 2024</t>
  </si>
  <si>
    <t>Final RFP</t>
  </si>
  <si>
    <t>FY26 MCN P309 School Age Care Centers Replacement, Okinawa</t>
  </si>
  <si>
    <t>B Xiao</t>
  </si>
  <si>
    <t>KZF</t>
  </si>
  <si>
    <t>N Sybico</t>
  </si>
  <si>
    <t>$53.5M</t>
  </si>
  <si>
    <t>Construction PoP = 891 days</t>
  </si>
  <si>
    <t>MCCS facilities support: CYP (child and youth program) SMEs to support DoD school-age Program Inspection Checklist &amp; NSACA Standards for Quality School Age-Care</t>
  </si>
  <si>
    <t>6-9 Feb 24</t>
  </si>
  <si>
    <t>7-9 Jan 25</t>
  </si>
  <si>
    <t>7-9 May 25</t>
  </si>
  <si>
    <t>S Mow ★</t>
  </si>
  <si>
    <t>M Teller ★</t>
  </si>
  <si>
    <t>F McNeely ★</t>
  </si>
  <si>
    <t>E Poomi ★</t>
  </si>
  <si>
    <t>Design Partners Inc</t>
  </si>
  <si>
    <t>Page-turn with B Fisher and B Foster 2 Apr 2024 to review pre-Final re-submittal &gt;&gt; encouraging improvements in the A/E's plans.</t>
  </si>
  <si>
    <t>A/E revising design for final push: Revision of 34 11 00 (Railroad) Specification - provided by JED (positive reception). Investigating precast vs CIP slab solutions (precast currently favored) &gt;&gt; A/E to use precast.</t>
  </si>
  <si>
    <t>Feb 2024</t>
  </si>
  <si>
    <t>Bid Opening</t>
  </si>
  <si>
    <t>RFIs/Ammend</t>
  </si>
  <si>
    <t>3 Apr 2024: no substantive updates. S Miyashiro to request Code 4 hold.</t>
  </si>
  <si>
    <t>Code 4</t>
  </si>
  <si>
    <t>Contracting is working on advertising: in the RFI phase per the schedule.</t>
  </si>
  <si>
    <t xml:space="preserve">  └ Class 3 DCA</t>
  </si>
  <si>
    <t>Submit to Navy</t>
  </si>
  <si>
    <t>Navy is currently reviewing Draft PDA submittal</t>
  </si>
  <si>
    <t>Cost is continuing to develop the Class 3 DCR assessment</t>
  </si>
  <si>
    <t>S Mow</t>
  </si>
  <si>
    <t>A Takeda</t>
  </si>
  <si>
    <t>COS for SACs (Huntsville) - will provide review support for ID &amp; Space Planning (FF&amp;E) &amp; SID packages - met with Michael Johnson (Huntsville) on 2 April:
Not overly familiar with Navy SACC standards
Will provide a fee proposal</t>
  </si>
  <si>
    <t>Partial resubmittal of the Concept package received 3 Apr 2024.</t>
  </si>
  <si>
    <t>Next submittal (Final): 11 April 2024</t>
  </si>
  <si>
    <t>Site Visit/Scope Valid</t>
  </si>
  <si>
    <t>Oct 2023</t>
  </si>
  <si>
    <t>DB RFP</t>
  </si>
  <si>
    <t xml:space="preserve">  ├ Draft</t>
  </si>
  <si>
    <t>PM, TL &amp; DM met with Fuji representatives to discuss project requirements (28 Feb 2024):</t>
  </si>
  <si>
    <t>Camp Fuji to determine how to proceed; another meeting will be held early April to discuss path forward - meeting scheduled for 3 Apr 2024.</t>
  </si>
  <si>
    <t>Fuji hasn’t provided planning documents; needs signed site approval; must get requirements from TEPCO</t>
  </si>
  <si>
    <t>$41.5M</t>
  </si>
  <si>
    <t>Issued corrected Code 2 - 35% Directive (6 Feb 2024)</t>
  </si>
  <si>
    <t>Letter of Concern issued 9 January 2024 - A/E has responded positively since then.</t>
  </si>
  <si>
    <t>Edits to 34 11 00 based on Japanese products - positive reception by A/E. Need to finalize AA MFR process.</t>
  </si>
  <si>
    <t>Page turn with Fisher and Foster on 2 Apr 2024 - good progress on the A/E's part.</t>
  </si>
  <si>
    <t>A/E requested three additional weeks: JED and stakeholders have no problems and prefer quality over cost/sched.</t>
  </si>
  <si>
    <t>Fire flow test needs to be re-conducted. A/E has put project on soft-hold under virtual test is arranged with DPW.</t>
  </si>
  <si>
    <t>Code 6 work (later this fall) is currently being pre-WAB'd.</t>
  </si>
  <si>
    <t xml:space="preserve">Code 4 directive received 10 Apr 2024 </t>
  </si>
  <si>
    <t>Waiting on AF</t>
  </si>
  <si>
    <t>FY27 ZNRE224302P1 IMFH PAIP 10 Phase 2 (32 UN)</t>
  </si>
  <si>
    <t>FY27 ZNRE224302P1 IMFH PAIP 10 Phase 3 (32 UN)</t>
  </si>
  <si>
    <t>Location</t>
  </si>
  <si>
    <t>Yokota</t>
  </si>
  <si>
    <t>Foster &amp; McTureous</t>
  </si>
  <si>
    <t>Kawakami</t>
  </si>
  <si>
    <t>Sagamihara GD</t>
  </si>
  <si>
    <t>Kure</t>
  </si>
  <si>
    <t>Camp Zama</t>
  </si>
  <si>
    <t>Kadena</t>
  </si>
  <si>
    <t>Atsugi</t>
  </si>
  <si>
    <t>Iwakuni</t>
  </si>
  <si>
    <t>Camp Fuji</t>
  </si>
  <si>
    <t>Final PDCR Received 11 April 2024.</t>
  </si>
  <si>
    <t>Users designated one new site: (a) Camp Foster site to remain, (b) new DD1391 w/ one new site (Camp McTureous)</t>
  </si>
  <si>
    <t>Solitication cancelled - will be rephased and contractor will be permitted to keep rooms longer than overnight.</t>
  </si>
  <si>
    <t>A/E currently revising to include amendments from previous solicitation. Then the package will be resolicitied.</t>
  </si>
  <si>
    <t>Once fire flow test conducted, project on hold pending a scope change MOD (possibly adding sprinkler). It is believed this may cause the stakeholder to ice (TFC) the project.</t>
  </si>
  <si>
    <t>Stakeholder's request of 2,000 kN bollards cannot technically achieved, they approved desinging to 1,000 kN.</t>
  </si>
  <si>
    <t>Exploring requirements for fire sprinklers and fire riser rooms.</t>
  </si>
  <si>
    <t>SSOW currently being prepared.</t>
  </si>
  <si>
    <t>DDESB review and approval likely to be required. Estimated schedule impact: 6 months.</t>
  </si>
  <si>
    <t>Updates from the Navy received on 17 April 2024:</t>
  </si>
  <si>
    <t>Comm</t>
  </si>
  <si>
    <t>RO</t>
  </si>
  <si>
    <t>FP</t>
  </si>
  <si>
    <t>Remove North Retention Pond Study, MCAS Iwakuni</t>
  </si>
  <si>
    <t>FY26 Repair C130 Firefighting Simulator (Fire Drill Pit)</t>
  </si>
  <si>
    <t>FY26 Convert Building 1012 into Hazardous Material Storage</t>
  </si>
  <si>
    <t xml:space="preserve">  ├ Final PDCR</t>
  </si>
  <si>
    <t>T Hilburn</t>
  </si>
  <si>
    <t>FY26 Renovate Building 410</t>
  </si>
  <si>
    <t>Completed</t>
  </si>
  <si>
    <t>Unknown</t>
  </si>
  <si>
    <t>Currently in RFI/Amendment phase. There were seven bidder RFIs, five of which are being addressed by the A/E. The other two are PM/RO RFIs.</t>
  </si>
  <si>
    <t>FY27 AFH Renovate Tower B743 Camp Zama</t>
  </si>
  <si>
    <t>Aug 2024</t>
  </si>
  <si>
    <t>CID conference meeting held in Okinawa, 30 April 2024.</t>
  </si>
  <si>
    <t>Final PDCR comment review meeting held in Okinawa, 1 May 2024.</t>
  </si>
  <si>
    <t>Seismic + Wind Study Report complete and submitted to client (718 CES)</t>
  </si>
  <si>
    <t>Received "deferment" memo from 718 CES - project on hold until client decides to move forward. Likely not 2024.</t>
  </si>
  <si>
    <t>B Taira</t>
  </si>
  <si>
    <t>Site visit with PM, TL, DM and ME to meet DoDEA and walkthrough the five buildings (7-9 May 2024).</t>
  </si>
  <si>
    <t>The current PA is $20M, however, there is an unwritten expectation by the parties that walked the site, it's likely that it will need to be closer to $30M.</t>
  </si>
  <si>
    <t>Aug 2025</t>
  </si>
  <si>
    <t>Sept 2025</t>
  </si>
  <si>
    <t>Revised final design submittal received 9 May 2024. OBR to be held 12 June 2024.</t>
  </si>
  <si>
    <t>Final OBR occurred 21 May 2024. Only a few BCOES comments.</t>
  </si>
  <si>
    <t>Extra funds returned to client.</t>
  </si>
  <si>
    <t>Fee quote prepared. PM requesting funds and DM working on getting A/E.</t>
  </si>
  <si>
    <t>Waiting on Navy to OPTION Code 6. Expected to continue in late Summer.</t>
  </si>
  <si>
    <t>Awaiting Code 6 to continue from Intermediate Design.</t>
  </si>
  <si>
    <t>A Nagamine</t>
  </si>
  <si>
    <t>COMPLETED</t>
  </si>
  <si>
    <t>Fee proposal completed.</t>
  </si>
  <si>
    <t>Completed.</t>
  </si>
  <si>
    <t>L Bowers</t>
  </si>
  <si>
    <t>$106M</t>
  </si>
  <si>
    <t>Draft RFP</t>
  </si>
  <si>
    <t>Final version submitted to Navy 29 April 2024.</t>
  </si>
  <si>
    <t>Waiting for Code 7 from Navy to continue.</t>
  </si>
  <si>
    <t>S Yoshizumi</t>
  </si>
  <si>
    <t>A/E Study</t>
  </si>
  <si>
    <t>Final Report</t>
  </si>
  <si>
    <t>Currently being fee quoted.</t>
  </si>
  <si>
    <t>$1M</t>
  </si>
  <si>
    <t>$10M+</t>
  </si>
  <si>
    <t>Jan 2026</t>
  </si>
  <si>
    <t>$4M</t>
  </si>
  <si>
    <t>O&amp;M</t>
  </si>
  <si>
    <t>AA MFR for 34 11 00 (Railroak track and products) currently in AHJ review.</t>
  </si>
  <si>
    <t>Two-part OBR to review Final (7 June) and Revised Final and BCOES (14 June) comments.</t>
  </si>
  <si>
    <t>7 &amp; 14 June 24</t>
  </si>
  <si>
    <t>Amendment issued in May 2024</t>
  </si>
  <si>
    <t>Bid opening will occur as scheduled.</t>
  </si>
  <si>
    <t>Pre-bid site visit occurred 7 June 2024.</t>
  </si>
  <si>
    <t>FY23 OMA Replace AFFF Fire Suppression with Wet Pipe Fire Suppression System, Buildings 155-7 and 161-1</t>
  </si>
  <si>
    <t>SGD</t>
  </si>
  <si>
    <t>Ammendments</t>
  </si>
  <si>
    <t>Pre-bid conference scheduled for 13 June 2024, the pre-bid site visit to follow the next day.</t>
  </si>
  <si>
    <t>HDR</t>
  </si>
  <si>
    <t>DM preparing revised SSOW for Final -&gt; RTA for limited rework of phasing and relating redesign (if needed).</t>
  </si>
  <si>
    <t>Rephasing will likely need M review of the interim system redesign - only if redesign or interim condition is necessary.</t>
  </si>
  <si>
    <t>Just finished Government review of the Final submittal. Waiting for A/E to schedule OBR meeting.</t>
  </si>
  <si>
    <t>Currently preparing backcheck submittal.</t>
  </si>
  <si>
    <t>Need to determine what is necessary for creating a Value Management Plan to be included in the work-product.</t>
  </si>
  <si>
    <t>DM is working on A/E acquisition currently.</t>
  </si>
  <si>
    <t>Possible issues with perimeter fence at Camp Foster nearing the 47m buffer to the project site.</t>
  </si>
  <si>
    <t>Concept submittal received, currently in review.</t>
  </si>
  <si>
    <t>Continued coordination with G-6 regarding pulling cable (do we need to pull from Courtney to McT?)</t>
  </si>
  <si>
    <t>Transformer contingency - now concerns whether transformers will be replaced by other contract, as previously thought.</t>
  </si>
  <si>
    <t>P Fletcher</t>
  </si>
  <si>
    <t>NAO (M Scanlon)</t>
  </si>
  <si>
    <t>DM is currently working on A/E acquisition</t>
  </si>
  <si>
    <t>S Nieves-Perez</t>
  </si>
  <si>
    <t>JED will execute Code 2 for 2024; Code 6 to be issued later.</t>
  </si>
  <si>
    <t>K Hill ★</t>
  </si>
  <si>
    <t>B Grogan ★</t>
  </si>
  <si>
    <t>Currently awaiting PM direction.</t>
  </si>
  <si>
    <t>$3.25M</t>
  </si>
  <si>
    <t>Nov 2024</t>
  </si>
  <si>
    <t>$15M</t>
  </si>
  <si>
    <t>S Yoshizumi, K Fukushima</t>
  </si>
  <si>
    <t>► J Plymale</t>
  </si>
  <si>
    <t>► J Plymale / KZF</t>
  </si>
  <si>
    <t>A/E contract awareded 26 June 2024</t>
  </si>
  <si>
    <t>RFP was issued on June 10, proposals received July 1, AWARD targeted for August 10</t>
  </si>
  <si>
    <t>R Estabaya</t>
  </si>
  <si>
    <t>The A/E is currently preparing the B/C submittal. We haven't received an updated sched from them. PM/TL to meet with A/E to discuss path forward from here.</t>
  </si>
  <si>
    <t>DM is negotiating with A/E on scope MOD.</t>
  </si>
  <si>
    <t>Fire flow test scheduled for 0900 - 1000 on 10 July 2024</t>
  </si>
  <si>
    <t>Final Design OBR held on 28 June 2024.</t>
  </si>
  <si>
    <t>A/E working on pulling together B/C submittal (expected in July).</t>
  </si>
  <si>
    <t>Jon Plymale will be preparin the Value Management Plan.</t>
  </si>
  <si>
    <t>The transformer has been added back to the project.</t>
  </si>
  <si>
    <t>Stakeholder confirmed: they want the option for water heaters for indivudual units, on mech pads away from the buildings.</t>
  </si>
  <si>
    <t>Currently working responding to final technical/BCOES comments and pulling together backcheck version.</t>
  </si>
  <si>
    <t>Received Hazmat report in late May.</t>
  </si>
  <si>
    <t>ED revised FQ - there was pushback, but since revision the stakeholder has been silent.</t>
  </si>
  <si>
    <t>Award is expected sometime in July.</t>
  </si>
  <si>
    <t>Concept review to close 7/12. OBR will be scheduled for first week of August (to accommodate stakeholders, A/E, etc.)</t>
  </si>
  <si>
    <t>DM is negotiating with DPI (award is expected in early August)</t>
  </si>
  <si>
    <t>SSJV</t>
  </si>
  <si>
    <t>DM is negotiating with A/E firm. Award expected in late August.</t>
  </si>
  <si>
    <t>Stakeholder cancelled project - CODE 4.</t>
  </si>
  <si>
    <t>Fee quotes complete. Currently waiting for NTP from stakeholder to being A/E aquistion, etc.</t>
  </si>
  <si>
    <t>YES</t>
  </si>
  <si>
    <t>DISA</t>
  </si>
  <si>
    <t>PM/TL site visit on 13 July 2024</t>
  </si>
  <si>
    <t>Currently preparing fee quote.</t>
  </si>
  <si>
    <t>M Johnson, C Shepard</t>
  </si>
  <si>
    <t>R Collado</t>
  </si>
  <si>
    <t>Received stop work from stakeholder. Project may be restarted in FY25, however, it is currently Code 4.</t>
  </si>
  <si>
    <t>A Le</t>
  </si>
  <si>
    <t>Draft charrette report received 6 Aug 2024 - Gov't review deadline is COB 16 Aug 2024</t>
  </si>
  <si>
    <t>Site visit and design charette conducted 23-25 July 2024</t>
  </si>
  <si>
    <t>Government currently in Backcheck review. Lots of comments still open - needs further A/E involvement.</t>
  </si>
  <si>
    <t>Next step will be RTA submittal. Still coordinating with A/E</t>
  </si>
  <si>
    <t>Ammend AM-0003 extends bid to end of August.
AM-0004(?) will include the update to EM385-1-1 (2024)</t>
  </si>
  <si>
    <t>No bidder RFIs received; appearently not much interest at this time.</t>
  </si>
  <si>
    <t>AM-000X to include the update to EM 385-1-1 (2024)</t>
  </si>
  <si>
    <t>Fire flow test ran on 10 July 2024.</t>
  </si>
  <si>
    <t>JED currently issuing MOD to include fire sprinkler design. Once this issued, design will continue.</t>
  </si>
  <si>
    <t>Government backcheck review just completed. Several comments still need to be addressed by A/E.</t>
  </si>
  <si>
    <t>PoP/CLIN meeting held 1 August 2024. One CLIN.</t>
  </si>
  <si>
    <t>Tech Svc working on pulling backcheck submittal together.</t>
  </si>
  <si>
    <t>Jon Plymale working on preparing VMP.</t>
  </si>
  <si>
    <t>Waiting for Code 6 to continue to intermediate design. Expected later this year.</t>
  </si>
  <si>
    <t>30 Jul - 1 Aug</t>
  </si>
  <si>
    <t>Project awarded to Design Partners, Inc.</t>
  </si>
  <si>
    <t>PM meeting with DPI on 7 Aug 2024.</t>
  </si>
  <si>
    <t>Kickoff meeting will be held around 22 August 2024.</t>
  </si>
  <si>
    <t>Fee quote provided to PM 6 Aug 2024.</t>
  </si>
  <si>
    <t>PM/TL/FP site visit on 26 July 2024.</t>
  </si>
  <si>
    <t>DM currently working on A/E acquisition.</t>
  </si>
  <si>
    <t>J Plymale</t>
  </si>
  <si>
    <t>A Chan</t>
  </si>
  <si>
    <t>DPI</t>
  </si>
  <si>
    <t>Rumor has it: stakeholder may shift the FY, which will allow a little more time (schedule was originally truncated, so this would be a welcomed update).</t>
  </si>
  <si>
    <t>Site visit/charrette 9 - 13 Sept 2024 (Mon - Fri):
- Stakeholder asked us to visit B1064/1065, which will be a model what they want</t>
  </si>
  <si>
    <t>PM to schedule BCOES Certification meeting.</t>
  </si>
  <si>
    <t>Project basically completed - transferred to construction.</t>
  </si>
  <si>
    <t>Project awaiting funding from stakeholder (to execute the MOD to rephase the construction).</t>
  </si>
  <si>
    <t>Bids opened last Friday, 6 September 2024.</t>
  </si>
  <si>
    <t>After a bid-failure, the project is effectively cancelled for now. Stakeholder is looking into other options.</t>
  </si>
  <si>
    <t>Bidding Phase</t>
  </si>
  <si>
    <t>Currently awaiting stakeholder funding.</t>
  </si>
  <si>
    <t>TL and PM to start working on BCOES Certification presentation.</t>
  </si>
  <si>
    <t>The project is basically ready to go into RTA phase, however, the stakeholder is likely going to cancel (for now) - it was discovered that it's using the wrong funding source.</t>
  </si>
  <si>
    <t>Kickoff meeting occurred 30 August 2024</t>
  </si>
  <si>
    <t>Site visit and charrette scheduled for late October.</t>
  </si>
  <si>
    <t>Concept OBR scheduled for first week of October.</t>
  </si>
  <si>
    <t>Fire flow tests to be conducted simultaneous with Concept OBR.</t>
  </si>
  <si>
    <t>This project will transition back to Mike Wakefield (TL) in October.</t>
  </si>
  <si>
    <t>Awaiting stakeholder funding to start project.</t>
  </si>
  <si>
    <t>Project cancelled for this FY.</t>
  </si>
  <si>
    <t>Project was cancelled for FY.</t>
  </si>
  <si>
    <t>Awaiting stakeholder funding.</t>
  </si>
  <si>
    <t>G70</t>
  </si>
  <si>
    <t>WSP</t>
  </si>
  <si>
    <t>Awarded 11 September 2024.</t>
  </si>
  <si>
    <t>Awarded</t>
  </si>
  <si>
    <t>Rumored to be coming back.</t>
  </si>
  <si>
    <t>9-13 Dec 24</t>
  </si>
  <si>
    <t xml:space="preserve">  └ Corrected Final</t>
  </si>
  <si>
    <t>Project scope revised - currently will proceed with Charrette report.</t>
  </si>
  <si>
    <t>PAE</t>
  </si>
  <si>
    <t>Bids Due</t>
  </si>
  <si>
    <t>Contracting is conducting another round of market research; this is partially in response to the stakeholder's request to go LPTA.</t>
  </si>
  <si>
    <t>Solicitation is anticipated to occur in late December. The bidder site visit will occur in mid-Jan 2025.</t>
  </si>
  <si>
    <t>Proposals will be due late Apr 2025.</t>
  </si>
  <si>
    <t>BCOES certification scheduled for 9/17. Contracting is working on the Div 00 specs (targeting the same week).</t>
  </si>
  <si>
    <r>
      <t xml:space="preserve">  └ </t>
    </r>
    <r>
      <rPr>
        <strike/>
        <sz val="10.5"/>
        <color theme="1"/>
        <rFont val="Arial"/>
        <family val="2"/>
      </rPr>
      <t>Backcheck</t>
    </r>
  </si>
  <si>
    <t>2-3 Jun 25</t>
  </si>
  <si>
    <t>9/30-10/5/25</t>
  </si>
  <si>
    <t>Dec 2025</t>
  </si>
  <si>
    <t>Feb 2026</t>
  </si>
  <si>
    <t>May 2026</t>
  </si>
  <si>
    <t>Site approval received 6 September 2024</t>
  </si>
  <si>
    <t>Dig permit approved, A/E will be on site week of 23 September 2024.</t>
  </si>
  <si>
    <t>Project Awarded. A/E has received NTP.</t>
  </si>
  <si>
    <t>Coordinate meeting to occur Oct 24 at Yokota.</t>
  </si>
  <si>
    <t>Government review of submittal in mid-, late-December.</t>
  </si>
  <si>
    <t>Coordination Meeting</t>
  </si>
  <si>
    <t>Government Review</t>
  </si>
  <si>
    <t>OBR</t>
  </si>
  <si>
    <t>BCOES Certification meeting happened 9/17</t>
  </si>
  <si>
    <t>Plan-in-Hand meeting occurred 9/20. RO provided MFR in early October.</t>
  </si>
  <si>
    <t>Minor updates to RTA prior to submitting to CT.</t>
  </si>
  <si>
    <t>Ready for BCOES certification, except just waiting for the VMP to be signed.</t>
  </si>
  <si>
    <t>Jennifer Dubois taking over as TL.</t>
  </si>
  <si>
    <t>DD1391 due by end of October 2024</t>
  </si>
  <si>
    <t>PM coordininating an extension of the Concept Submittal (except the DD1391 markups due October).</t>
  </si>
  <si>
    <t>Received Code 7 - working to get PDT going.</t>
  </si>
  <si>
    <t>DM working on MOD to extend the option for Code 6.</t>
  </si>
  <si>
    <t>Mike Wakefield resuming as TL on this project.</t>
  </si>
  <si>
    <t>DM is negotiating with A/E firm. Award expected in late October.</t>
  </si>
  <si>
    <t>A Bohsti</t>
  </si>
  <si>
    <t>J Dubois</t>
  </si>
  <si>
    <t>M Wakefield</t>
  </si>
  <si>
    <t>Defense Working Capital Funds</t>
  </si>
  <si>
    <t>Contracting</t>
  </si>
  <si>
    <t>Coordination meeting held at YAB on 25 October 2024 (Fri) for A/E to discuss new phasing plan with stakeholders.</t>
  </si>
  <si>
    <t>Follow-up meeting with A/E and stakeholders on 5 November 2024 to iron out several additional questions that arose after initial review.</t>
  </si>
  <si>
    <t>$4.73M</t>
  </si>
  <si>
    <t>Combined meeting minutes received 7 November 2024 included the concept phasing plan. This PDF was included in sources sought "market research", passed to CT on the same day.</t>
  </si>
  <si>
    <t>Targeting 20 November 2024 for BCOES Cert; trying to include all last minute changes to RTA by that date.</t>
  </si>
  <si>
    <t>Project is effectively Code 4 - will write Mothball</t>
  </si>
  <si>
    <t>RTA CWE = $4.42M (incl. markups; ECC is $3.9M), PA = $4.7M</t>
  </si>
  <si>
    <t>Received Final Concept submittal on 6 November 2024. It's been loaded into Dr Checks, but don't have a review.</t>
  </si>
  <si>
    <t>Draft DD1391 submitted 1 November 2024, however PM/TL still working minor edits with NAVFAC who is inputting to PAX.</t>
  </si>
  <si>
    <t>Project currently on pause until we receive Code 6 (unknown when that will come)</t>
  </si>
  <si>
    <t>Engineering FQ sent to PPMD on 8 November 2024.</t>
  </si>
  <si>
    <t>Still waiting for Code 6 - there's no clear indication of when this could be… doesn’t sound soon.</t>
  </si>
  <si>
    <t>Received notice of award to SSJV on 1 November 2024. Kick off meeting held on 8 November 2024.</t>
  </si>
  <si>
    <t>Site visit and charrette to be held 9 - 13 December 2024.</t>
  </si>
  <si>
    <t>A/E working on sending preliminary schedule (expected by Thur, 13 Nov 2024)</t>
  </si>
  <si>
    <t>Oct 25</t>
  </si>
  <si>
    <t>Nov 25</t>
  </si>
  <si>
    <t>Jul 26</t>
  </si>
  <si>
    <t>Feb 25</t>
  </si>
  <si>
    <t>May 25</t>
  </si>
  <si>
    <t>Aug 25</t>
  </si>
  <si>
    <t xml:space="preserve">Site visit and Charrette occured 7-18 Oct 2024. </t>
  </si>
  <si>
    <t>The initial charrette results were vastly over budget, so the design charrette devolved into developing 3 COAs:
1. All upgrades - $60M
2. Upgrade only B92, B94 - $40M
3. Individual splits in each room B94 - $20M</t>
  </si>
  <si>
    <t>Currently awaiting stakeholder decision on COA before proceeding.</t>
  </si>
  <si>
    <t>Project awarded to InSynergy. Kick off meeting held 23 Oct 2024.</t>
  </si>
  <si>
    <t>Site visit and charrette scheduled for 4-6 Dec 2024.</t>
  </si>
  <si>
    <t>InSynergy</t>
  </si>
  <si>
    <t>S Chun</t>
  </si>
  <si>
    <t>Code 6 was issued 20 November 2024.</t>
  </si>
  <si>
    <t>PM is currently coordinating the schedule (tenative schedule shown).</t>
  </si>
  <si>
    <t>A/E currently working on packaging the revised RTA for G review: scheduled to be received mid-December</t>
  </si>
  <si>
    <t>A/E currently working on several minor edits to specifications (re: marine concrete AA MFR and dive safety spec). Expected back 3 December 2024.</t>
  </si>
  <si>
    <t>Current working on packaging the RTA submittal to provide to the stakeholder.</t>
  </si>
  <si>
    <t>Dec 2024</t>
  </si>
  <si>
    <t>Once the RTA submittal is packaged up, it will be provided to the stakeholder and the project will be officially Code 4'd.</t>
  </si>
  <si>
    <t>Solicitation</t>
  </si>
  <si>
    <t>Anh Le replaced Sean Higginbotham as PM</t>
  </si>
  <si>
    <t>Currently assembling assets for the IH Concept BD RFP.</t>
  </si>
  <si>
    <t>Based on current schedule - the A/E (Woolpert) would continue with the Intermediate phase development starting in early February 2025.</t>
  </si>
  <si>
    <t xml:space="preserve">  ├ OBR</t>
  </si>
  <si>
    <t xml:space="preserve">  └ Final Submittal</t>
  </si>
  <si>
    <t>Current effort: Code 2 (Ph 2 and 3, and the Code 6 portion of Ph 1 removed from scope at stakeholder's request).</t>
  </si>
  <si>
    <t xml:space="preserve">  └ Final PDCR</t>
  </si>
  <si>
    <t>4-6 Dec 2024</t>
  </si>
  <si>
    <t>FY23 Facility Repair Bldg 1585 (YAB)</t>
  </si>
  <si>
    <t>FY24 Repair of Pier 237, 341, and 516 (YND)</t>
  </si>
  <si>
    <t>FY25 AFH Repairs 971, 972, 973 &amp; 974 (Zama)</t>
  </si>
  <si>
    <t>FY26 MCN H2406 Repair Whole House Building 1255 (MCASI)</t>
  </si>
  <si>
    <t>FY26 NAVY (P530) AIMD Facility, Kadena AB</t>
  </si>
  <si>
    <t>FY27 ZNRE224302P1 IMFH PAIP 10 Phase 1 (32 UN) (YAB)</t>
  </si>
  <si>
    <t>FY26 Sollars Elementary HVAC Upgrades (MAB)</t>
  </si>
  <si>
    <t>FY25 DISA BLDG 650 FP System Upgrade (YAB)</t>
  </si>
  <si>
    <t>TSC</t>
  </si>
  <si>
    <t>RTA set provided to CT in Nov 2024</t>
  </si>
  <si>
    <t>Bidder Site Visit</t>
  </si>
  <si>
    <t>Currently awaiting funds assurance from DLA. Pending that, the bidder site visit will likely occur in Q1 or Q2 2025.</t>
  </si>
  <si>
    <t>RTA to CT</t>
  </si>
  <si>
    <r>
      <t xml:space="preserve">Revised scope (7 </t>
    </r>
    <r>
      <rPr>
        <sz val="10"/>
        <color theme="1"/>
        <rFont val="Wingdings"/>
        <charset val="2"/>
      </rPr>
      <t>à</t>
    </r>
    <r>
      <rPr>
        <sz val="10"/>
        <color theme="1"/>
        <rFont val="Arial"/>
        <family val="2"/>
      </rPr>
      <t xml:space="preserve"> 13 phases) allows for more conducive working conditions to encourage bidders.</t>
    </r>
  </si>
  <si>
    <t>A/E submitted RTA set and all Dr Checks comments closed.</t>
  </si>
  <si>
    <t>BCOES certification anticipated the week of 10 Feb 2025.</t>
  </si>
  <si>
    <t>Stakeholder has given notice to proceed. Currently working with A/E on scope MOD: include fire sprinklers and supporting systems.</t>
  </si>
  <si>
    <t>Once MOD is negotiated with A/E, an updated schedule will be released (coming soon)</t>
  </si>
  <si>
    <t>Plan in hand site walk occurred in December.</t>
  </si>
  <si>
    <t>Yokosuka RO will take over the project from KRO.</t>
  </si>
  <si>
    <t>BCOES certification anticipated mid-February 2025.</t>
  </si>
  <si>
    <t>Submit to CT</t>
  </si>
  <si>
    <t>YND</t>
  </si>
  <si>
    <t>Kanagawa</t>
  </si>
  <si>
    <t>L Bowers ★</t>
  </si>
  <si>
    <t>GAE</t>
  </si>
  <si>
    <t>FY26 Repair UPH Bldg 200 Kure</t>
  </si>
  <si>
    <t>OTIE</t>
  </si>
  <si>
    <t>Q La</t>
  </si>
  <si>
    <t>Plumbing and electrical upgrades for building slated to be decommissioned in 2028.</t>
  </si>
  <si>
    <t>DM currently negotiating TO with A/E</t>
  </si>
  <si>
    <t>Misawa</t>
  </si>
  <si>
    <t>Start</t>
  </si>
  <si>
    <t>Awarded end of last FY</t>
  </si>
  <si>
    <t>Oct 24</t>
  </si>
  <si>
    <t>Q2 2025</t>
  </si>
  <si>
    <t>Concept DB RFP OBR occurred 7 February 2025</t>
  </si>
  <si>
    <t>Currently working towards Final in March 25</t>
  </si>
  <si>
    <t>Currently reviewing PDCR.</t>
  </si>
  <si>
    <t>No issues at this time.</t>
  </si>
  <si>
    <t>PM and TL to have a coordination meeting with A/E on 12 Feb 25 to discuss path forward.</t>
  </si>
  <si>
    <t>$20M -&gt; $60M</t>
  </si>
  <si>
    <t>$30M</t>
  </si>
  <si>
    <t>$9.89M ($16M)</t>
  </si>
  <si>
    <t>J Reyes  ► S Soon</t>
  </si>
  <si>
    <t>RTA package was wrapped up in December 2024.</t>
  </si>
  <si>
    <t>PDT has incorporated best practices for moisture control COA lessons learned.</t>
  </si>
  <si>
    <t>Recommend removing this slide from TL LIR until stakeholder determines if they want to continue this project.</t>
  </si>
  <si>
    <t>As of March 2024, the CWE was 98% of the PA.</t>
  </si>
  <si>
    <t>Link</t>
  </si>
  <si>
    <t>https://pwlink.bentley.com/link?ds=EPOJW2SN02AOA01.poj.ds.usace.army.mil~3APWPOJ01&amp;fld=342b24a3e5384fa9a221bcb17dbf13ef</t>
  </si>
  <si>
    <t>https://pwlink.bentley.com/link?ds=EPOJW2SN02AOA01.poj.ds.usace.army.mil~3APWPOJ01&amp;fld=d194d27d0eb24c0cbca22105e831698c</t>
  </si>
  <si>
    <t>https://pwlink.bentley.com/link?ds=EPOJW2SN02AOA01.poj.ds.usace.army.mil~3APWPOJ01&amp;fld=4a3e7626936c42e7b72b045700f93284</t>
  </si>
  <si>
    <t>https://pwlink.bentley.com/link?ds=EPOJW2SN02AOA01.poj.ds.usace.army.mil~3APWPOJ01&amp;fld=aca10855d01b4aa688f1ee1d72c45e87</t>
  </si>
  <si>
    <t>https://pwlink.bentley.com/link?ds=EPOJW2SN02AOA01.poj.ds.usace.army.mil~3APWPOJ01&amp;fld=87a09b6da19f4cde8113dab6488efb4a</t>
  </si>
  <si>
    <t>Stakeholder is trying to determine what they want to do. There is no funding for this project. Project is de facto code 4.</t>
  </si>
  <si>
    <t>https://pwlink.bentley.com/link?ds=EPOJW2SN02AOA01.poj.ds.usace.army.mil~3APWPOJ01&amp;fld=bdc74e5bc72f4b2c8d352f9c4f26f3d8</t>
  </si>
  <si>
    <t>https://pwlink.bentley.com/link?ds=EPOJW2SN02AOA01.poj.ds.usace.army.mil~3APWPOJ01&amp;fld=a2fdcf1a416e42b6bcb5ea5f00d808d9</t>
  </si>
  <si>
    <t>https://pwlink.bentley.com/link?ds=EPOJW2SN02AOA01.poj.ds.usace.army.mil~3APWPOJ01&amp;fld=905fbd58f1da4fdaba6a235538524656</t>
  </si>
  <si>
    <t>https://pwlink.bentley.com/link?ds=EPOJW2SN02AOA01.poj.ds.usace.army.mil~3APWPOJ01&amp;fld=f7ccf7d22bda4c8e8e02da64e7222d0a</t>
  </si>
  <si>
    <t>https://pwlink.bentley.com/link?ds=EPOJW2SN02AOA01.poj.ds.usace.army.mil~3APWPOJ01&amp;fld=5a5ae781ccee4666bad0276e038f5a7a</t>
  </si>
  <si>
    <t>https://pwlink.bentley.com/link?ds=EPOJW2SN02AOA01.poj.ds.usace.army.mil~3APWPOJ01&amp;fld=2918fb09d9914ce7b5dc3e4a19065591</t>
  </si>
  <si>
    <t>https://pwlink.bentley.com/link?ds=epojw2sn02aoi01.poj.ds.usace.army.mil~3APWPOJ02&amp;fld=a3abc0173d34418fbe8a58173e8028cc</t>
  </si>
  <si>
    <t>Moisture control COA: ASHRAE &amp; Air Barrier Spec requirements to be included. JDDG 9.5.8. Fix refrigerant piping insulation discrepancy. Seal/Insulate emphasized in ECIFP</t>
  </si>
  <si>
    <t>Moisture control COA: ASHRAE &amp; Air Barrier Spec requirements to be included. JDDG 9.5.8. Fix refrigerant piping insulation discrepancy. Seal/Insulate emphasized in ECIFP.</t>
  </si>
  <si>
    <t>Mothball Memo (PW link)</t>
  </si>
  <si>
    <t>Received ATAdv on 2/28. Solicitation issued on 3/13</t>
  </si>
  <si>
    <t>Bidder site visit current scheduled for 4/09</t>
  </si>
  <si>
    <t>Contract Award</t>
  </si>
  <si>
    <t>Construction award planned for 9/30</t>
  </si>
  <si>
    <t>Concept Refresh</t>
  </si>
  <si>
    <t>Will continue project with a concept refresh (focused on the FP suppression system add).</t>
  </si>
  <si>
    <t>Second plan in hand walk on 25 February 2025</t>
  </si>
  <si>
    <t>Currently working through remaining BCOES cert paperwork and expected to hand over to CT around 31 March 2025.</t>
  </si>
  <si>
    <t>Late Mar 25</t>
  </si>
  <si>
    <t>Alana Munoz temporarily PM for Shane Greaves while on Pat-Leave.</t>
  </si>
  <si>
    <t>Woolpert has received NTP with the Code 6 effort, but is on a soft pause while JED confirms Code Refresh with stakeholder - JED recommended updating the codes, to include seismic update.</t>
  </si>
  <si>
    <t>Schedule shown is out of date; A/E and PM working on updating it. It'll likely slide to the right a few months.</t>
  </si>
  <si>
    <t>Based on delayed response from AF (required stakeholder decisions on several charrette options), the schedule will slide to the right a few weeks (will update this week)</t>
  </si>
  <si>
    <t>DM currently negotating MOD with the A/E.</t>
  </si>
  <si>
    <t>Received direction from DoDEA to proceed with COA #2, with COA #1 items as options.</t>
  </si>
  <si>
    <t>Final DB RFP submittal expected this Friday. Gov't review will be two weeks.</t>
  </si>
  <si>
    <t>RS&amp;H &amp; OTIE JV</t>
  </si>
  <si>
    <t>"Updated Army Electrification Guidance for MILCON and SRM Projects" - retain electrification for projects at 35% or greater: no change in design, project at 35% submittal.</t>
  </si>
  <si>
    <t>"Updated Army Electrification Guidance for MILCON and SRM Projects" - retain electrification for projects at 35% or greater: electrification will no longer be required for this project.</t>
  </si>
  <si>
    <t>"Updated Army Electrification Guidance for MILCON and SRM Projects" - retain electrification for projects at 35% or greater: no change in design, project is at RTA stage (Code 4).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</si>
</sst>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8" formatCode="&quot;$&quot;#,##0.00_);[Red]\(&quot;$&quot;#,##0.00\)"/>
    <numFmt numFmtId="164" formatCode="dd\ mmm\ yy"/>
  </numFmts>
  <fonts count="12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.5"/>
      <color theme="1"/>
      <name val="Arial"/>
      <family val="2"/>
    </font>
    <font>
      <b/>
      <sz val="10.5"/>
      <color theme="1"/>
      <name val="Arial"/>
      <family val="2"/>
    </font>
    <font>
      <b/>
      <sz val="10.5"/>
      <color rgb="FFFFFFFF"/>
      <name val="Arial"/>
      <family val="2"/>
    </font>
    <font>
      <b/>
      <sz val="10.5"/>
      <color rgb="FF000000"/>
      <name val="Arial"/>
      <family val="2"/>
    </font>
    <font>
      <sz val="10.5"/>
      <color rgb="FFC0C0C0"/>
      <name val="Arial"/>
      <family val="2"/>
    </font>
    <font>
      <sz val="10.5"/>
      <color rgb="FF8A765A"/>
      <name val="Arial"/>
      <family val="2"/>
    </font>
    <font>
      <sz val="10.5"/>
      <color rgb="FFB8B9B2"/>
      <name val="Arial"/>
      <family val="2"/>
    </font>
    <font>
      <sz val="10.5"/>
      <color rgb="FFE1DAD1"/>
      <name val="Arial"/>
      <family val="2"/>
    </font>
    <font>
      <strike/>
      <sz val="10.5"/>
      <color theme="1"/>
      <name val="Arial"/>
      <family val="2"/>
    </font>
    <font>
      <sz val="10"/>
      <color theme="1"/>
      <name val="Wingdings"/>
      <charset val="2"/>
    </font>
  </fonts>
  <fills count="6">
    <fill>
      <patternFill patternType="none"/>
    </fill>
    <fill>
      <patternFill patternType="gray125"/>
    </fill>
    <fill>
      <patternFill patternType="solid">
        <fgColor rgb="FFFED532"/>
        <bgColor indexed="64"/>
      </patternFill>
    </fill>
    <fill>
      <patternFill patternType="solid">
        <fgColor rgb="FFC41230"/>
        <bgColor indexed="64"/>
      </patternFill>
    </fill>
    <fill>
      <patternFill patternType="solid">
        <fgColor rgb="FF007BFE"/>
        <bgColor indexed="64"/>
      </patternFill>
    </fill>
    <fill>
      <patternFill patternType="solid">
        <fgColor rgb="FFE8B00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wrapText="1"/>
    </xf>
    <xf numFmtId="164" fontId="0" fillId="0" borderId="0" xfId="0" applyNumberFormat="1" applyAlignment="1">
      <alignment horizontal="right"/>
    </xf>
    <xf numFmtId="164" fontId="3" fillId="0" borderId="0" xfId="0" applyNumberFormat="1" applyFont="1" applyAlignment="1">
      <alignment horizontal="right" wrapText="1"/>
    </xf>
    <xf numFmtId="0" fontId="2" fillId="0" borderId="0" xfId="0" applyFont="1" applyAlignment="1">
      <alignment vertical="center"/>
    </xf>
    <xf numFmtId="164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vertical="center"/>
    </xf>
    <xf numFmtId="164" fontId="5" fillId="2" borderId="0" xfId="0" applyNumberFormat="1" applyFont="1" applyFill="1" applyAlignment="1">
      <alignment horizontal="right"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164" fontId="4" fillId="3" borderId="0" xfId="0" applyNumberFormat="1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164" fontId="4" fillId="4" borderId="0" xfId="0" applyNumberFormat="1" applyFont="1" applyFill="1" applyAlignment="1">
      <alignment horizontal="right" vertical="center"/>
    </xf>
    <xf numFmtId="164" fontId="2" fillId="0" borderId="0" xfId="0" quotePrefix="1" applyNumberFormat="1" applyFont="1" applyAlignment="1">
      <alignment horizontal="right" vertical="center"/>
    </xf>
    <xf numFmtId="0" fontId="5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164" fontId="5" fillId="5" borderId="0" xfId="0" applyNumberFormat="1" applyFont="1" applyFill="1" applyAlignment="1">
      <alignment horizontal="right" vertical="center"/>
    </xf>
    <xf numFmtId="6" fontId="0" fillId="0" borderId="0" xfId="0" quotePrefix="1" applyNumberFormat="1" applyAlignment="1">
      <alignment horizontal="left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6" fillId="0" borderId="0" xfId="0" applyNumberFormat="1" applyFont="1" applyAlignment="1">
      <alignment horizontal="righ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164" fontId="7" fillId="0" borderId="0" xfId="0" applyNumberFormat="1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right" vertical="center"/>
    </xf>
    <xf numFmtId="164" fontId="5" fillId="5" borderId="0" xfId="0" quotePrefix="1" applyNumberFormat="1" applyFont="1" applyFill="1" applyAlignment="1">
      <alignment horizontal="right" vertical="center"/>
    </xf>
    <xf numFmtId="164" fontId="4" fillId="4" borderId="0" xfId="0" quotePrefix="1" applyNumberFormat="1" applyFont="1" applyFill="1" applyAlignment="1">
      <alignment horizontal="right" vertical="center"/>
    </xf>
    <xf numFmtId="164" fontId="4" fillId="3" borderId="0" xfId="0" quotePrefix="1" applyNumberFormat="1" applyFont="1" applyFill="1" applyAlignment="1">
      <alignment horizontal="right" vertical="center"/>
    </xf>
    <xf numFmtId="8" fontId="0" fillId="0" borderId="0" xfId="0" quotePrefix="1" applyNumberFormat="1" applyAlignment="1">
      <alignment horizontal="left"/>
    </xf>
    <xf numFmtId="0" fontId="0" fillId="0" borderId="0" xfId="0" quotePrefix="1" applyAlignment="1">
      <alignment horizontal="left"/>
    </xf>
    <xf numFmtId="164" fontId="5" fillId="2" borderId="0" xfId="0" quotePrefix="1" applyNumberFormat="1" applyFont="1" applyFill="1" applyAlignment="1">
      <alignment horizontal="right" vertical="center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0" fillId="0" borderId="0" xfId="0" applyFill="1"/>
    <xf numFmtId="0" fontId="1" fillId="0" borderId="0" xfId="0" applyFont="1" applyAlignment="1">
      <alignment horizontal="left" vertical="center" wrapText="1"/>
    </xf>
  </cellXfs>
  <cellStyles count="1">
    <cellStyle name="Normal" xfId="0" builtinId="0"/>
  </cellStyles>
  <dxfs count="385"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rgb="FF000000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numFmt numFmtId="164" formatCode="dd\ mmm\ yy"/>
      <alignment horizontal="righ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0.5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rgb="FF000000"/>
      </font>
      <fill>
        <patternFill>
          <bgColor rgb="FFAC9370"/>
        </patternFill>
      </fill>
    </dxf>
    <dxf>
      <font>
        <color rgb="FF000000"/>
      </font>
      <fill>
        <patternFill>
          <bgColor rgb="FFBBAC74"/>
        </patternFill>
      </fill>
    </dxf>
    <dxf>
      <font>
        <color rgb="FFFFFFFF"/>
      </font>
      <fill>
        <patternFill>
          <bgColor rgb="FF455A21"/>
        </patternFill>
      </fill>
      <border>
        <bottom style="thin">
          <color rgb="FF455A21"/>
        </bottom>
      </border>
    </dxf>
    <dxf>
      <font>
        <color rgb="FF000000"/>
      </font>
      <fill>
        <patternFill>
          <bgColor rgb="FFC6CCD0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003B4F"/>
        </patternFill>
      </fill>
      <border>
        <bottom style="thin">
          <color rgb="FF003B4F"/>
        </bottom>
      </border>
    </dxf>
    <dxf>
      <font>
        <color rgb="FF000000"/>
      </font>
      <fill>
        <patternFill>
          <bgColor rgb="FFC3B5A3"/>
        </patternFill>
      </fill>
    </dxf>
    <dxf>
      <font>
        <color rgb="FFFFFFFF"/>
      </font>
      <fill>
        <patternFill>
          <bgColor rgb="FF727365"/>
        </patternFill>
      </fill>
    </dxf>
    <dxf>
      <font>
        <color rgb="FFFFFFFF"/>
      </font>
      <fill>
        <patternFill>
          <bgColor rgb="FF343B33"/>
        </patternFill>
      </fill>
      <border>
        <bottom style="thin">
          <color rgb="FF343B33"/>
        </bottom>
      </border>
    </dxf>
    <dxf>
      <font>
        <color rgb="FF000000"/>
      </font>
      <fill>
        <patternFill>
          <bgColor rgb="FFD4D2D2"/>
        </patternFill>
      </fill>
    </dxf>
    <dxf>
      <font>
        <color rgb="FF000000"/>
      </font>
      <fill>
        <patternFill>
          <bgColor rgb="FFE9E8E8"/>
        </patternFill>
      </fill>
    </dxf>
    <dxf>
      <font>
        <color rgb="FFFFFFFF"/>
      </font>
      <fill>
        <patternFill>
          <bgColor rgb="FF1C2347"/>
        </patternFill>
      </fill>
      <border>
        <bottom style="thin">
          <color rgb="FF1C2347"/>
        </bottom>
      </border>
    </dxf>
  </dxfs>
  <tableStyles count="4" defaultTableStyle="TableStyleMedium2" defaultPivotStyle="PivotStyleLight16">
    <tableStyle name="AF" pivot="0" count="3" xr9:uid="{68444780-6C0F-4E0F-B65F-19FCAED34325}">
      <tableStyleElement type="headerRow" dxfId="384"/>
      <tableStyleElement type="firstRowStripe" dxfId="383"/>
      <tableStyleElement type="secondRowStripe" dxfId="382"/>
    </tableStyle>
    <tableStyle name="Army" pivot="0" count="3" xr9:uid="{565C2239-83B1-4351-9D70-D9195560863B}">
      <tableStyleElement type="headerRow" dxfId="381"/>
      <tableStyleElement type="firstRowStripe" dxfId="380"/>
      <tableStyleElement type="secondRowStripe" dxfId="379"/>
    </tableStyle>
    <tableStyle name="Navy" pivot="0" count="3" xr9:uid="{78BCB3DB-33C3-471F-B9E7-D4C1AD063CD6}">
      <tableStyleElement type="headerRow" dxfId="378"/>
      <tableStyleElement type="firstRowStripe" dxfId="377"/>
      <tableStyleElement type="secondRowStripe" dxfId="376"/>
    </tableStyle>
    <tableStyle name="USMC" pivot="0" count="3" xr9:uid="{B3B480CA-4CDB-4FBF-9B83-4BCC4B49030F}">
      <tableStyleElement type="headerRow" dxfId="375"/>
      <tableStyleElement type="firstRowStripe" dxfId="374"/>
      <tableStyleElement type="secondRowStripe" dxfId="373"/>
    </tableStyle>
  </tableStyles>
  <colors>
    <mruColors>
      <color rgb="FF0000FF"/>
      <color rgb="FF00E266"/>
      <color rgb="FF00B050"/>
      <color rgb="FF00DA63"/>
      <color rgb="FFD4D2D2"/>
      <color rgb="FFFED532"/>
      <color rgb="FFC3B5A3"/>
      <color rgb="FF727365"/>
      <color rgb="FF343B33"/>
      <color rgb="FF050E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fif"/><Relationship Id="rId4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367665</xdr:colOff>
      <xdr:row>2</xdr:row>
      <xdr:rowOff>3810</xdr:rowOff>
    </xdr:from>
    <xdr:to>
      <xdr:col>2</xdr:col>
      <xdr:colOff>444163</xdr:colOff>
      <xdr:row>3</xdr:row>
      <xdr:rowOff>67509</xdr:rowOff>
    </xdr:to>
    <xdr:sp macro="" textlink="">
      <xdr:nvSpPr>
        <xdr:cNvPr id="2" name="milcon">
          <a:extLst>
            <a:ext uri="{FF2B5EF4-FFF2-40B4-BE49-F238E27FC236}">
              <a16:creationId xmlns:a16="http://schemas.microsoft.com/office/drawing/2014/main" id="{809176A4-0478-C1FD-A409-7665BFB62C9D}"/>
            </a:ext>
          </a:extLst>
        </xdr:cNvPr>
        <xdr:cNvSpPr/>
      </xdr:nvSpPr>
      <xdr:spPr>
        <a:xfrm>
          <a:off x="367665" y="339090"/>
          <a:ext cx="1295698" cy="231339"/>
        </a:xfrm>
        <a:custGeom>
          <a:avLst/>
          <a:gdLst/>
          <a:ahLst/>
          <a:cxnLst/>
          <a:rect l="l" t="t" r="r" b="b"/>
          <a:pathLst>
            <a:path w="1295698" h="225624">
              <a:moveTo>
                <a:pt x="933450" y="51048"/>
              </a:moveTo>
              <a:cubicBezTo>
                <a:pt x="919857" y="51048"/>
                <a:pt x="908943" y="55860"/>
                <a:pt x="900708" y="65485"/>
              </a:cubicBezTo>
              <a:cubicBezTo>
                <a:pt x="892473" y="75109"/>
                <a:pt x="888355" y="91034"/>
                <a:pt x="888355" y="113259"/>
              </a:cubicBezTo>
              <a:cubicBezTo>
                <a:pt x="888355" y="135285"/>
                <a:pt x="892448" y="151110"/>
                <a:pt x="900633" y="160735"/>
              </a:cubicBezTo>
              <a:cubicBezTo>
                <a:pt x="908819" y="170359"/>
                <a:pt x="919956" y="175171"/>
                <a:pt x="934045" y="175171"/>
              </a:cubicBezTo>
              <a:cubicBezTo>
                <a:pt x="948531" y="175171"/>
                <a:pt x="959743" y="170458"/>
                <a:pt x="967681" y="161032"/>
              </a:cubicBezTo>
              <a:cubicBezTo>
                <a:pt x="975618" y="151607"/>
                <a:pt x="979587" y="134690"/>
                <a:pt x="979587" y="110282"/>
              </a:cubicBezTo>
              <a:cubicBezTo>
                <a:pt x="979587" y="89744"/>
                <a:pt x="975444" y="74737"/>
                <a:pt x="967160" y="65261"/>
              </a:cubicBezTo>
              <a:cubicBezTo>
                <a:pt x="958875" y="55786"/>
                <a:pt x="947638" y="51048"/>
                <a:pt x="933450" y="51048"/>
              </a:cubicBezTo>
              <a:close/>
              <a:moveTo>
                <a:pt x="1087041" y="3721"/>
              </a:moveTo>
              <a:lnTo>
                <a:pt x="1149995" y="3721"/>
              </a:lnTo>
              <a:lnTo>
                <a:pt x="1232148" y="124430"/>
              </a:lnTo>
              <a:lnTo>
                <a:pt x="1232148" y="3721"/>
              </a:lnTo>
              <a:lnTo>
                <a:pt x="1295698" y="3721"/>
              </a:lnTo>
              <a:lnTo>
                <a:pt x="1295698" y="221903"/>
              </a:lnTo>
              <a:lnTo>
                <a:pt x="1232148" y="221903"/>
              </a:lnTo>
              <a:lnTo>
                <a:pt x="1150441" y="102106"/>
              </a:lnTo>
              <a:lnTo>
                <a:pt x="1150441" y="221903"/>
              </a:lnTo>
              <a:lnTo>
                <a:pt x="1087041" y="221903"/>
              </a:lnTo>
              <a:close/>
              <a:moveTo>
                <a:pt x="400794" y="3721"/>
              </a:moveTo>
              <a:lnTo>
                <a:pt x="468213" y="3721"/>
              </a:lnTo>
              <a:lnTo>
                <a:pt x="468213" y="168176"/>
              </a:lnTo>
              <a:lnTo>
                <a:pt x="573435" y="168176"/>
              </a:lnTo>
              <a:lnTo>
                <a:pt x="573435" y="221903"/>
              </a:lnTo>
              <a:lnTo>
                <a:pt x="400794" y="221903"/>
              </a:lnTo>
              <a:close/>
              <a:moveTo>
                <a:pt x="289173" y="3721"/>
              </a:moveTo>
              <a:lnTo>
                <a:pt x="356741" y="3721"/>
              </a:lnTo>
              <a:lnTo>
                <a:pt x="356741" y="221903"/>
              </a:lnTo>
              <a:lnTo>
                <a:pt x="289173" y="221903"/>
              </a:lnTo>
              <a:close/>
              <a:moveTo>
                <a:pt x="0" y="3721"/>
              </a:moveTo>
              <a:lnTo>
                <a:pt x="88664" y="3721"/>
              </a:lnTo>
              <a:lnTo>
                <a:pt x="122858" y="136476"/>
              </a:lnTo>
              <a:lnTo>
                <a:pt x="156807" y="3721"/>
              </a:lnTo>
              <a:lnTo>
                <a:pt x="245418" y="3721"/>
              </a:lnTo>
              <a:lnTo>
                <a:pt x="245418" y="221903"/>
              </a:lnTo>
              <a:lnTo>
                <a:pt x="190202" y="221903"/>
              </a:lnTo>
              <a:lnTo>
                <a:pt x="190202" y="55513"/>
              </a:lnTo>
              <a:lnTo>
                <a:pt x="147659" y="221903"/>
              </a:lnTo>
              <a:lnTo>
                <a:pt x="97680" y="221903"/>
              </a:lnTo>
              <a:lnTo>
                <a:pt x="55215" y="55513"/>
              </a:lnTo>
              <a:lnTo>
                <a:pt x="55215" y="221903"/>
              </a:lnTo>
              <a:lnTo>
                <a:pt x="0" y="221903"/>
              </a:lnTo>
              <a:close/>
              <a:moveTo>
                <a:pt x="933599" y="0"/>
              </a:moveTo>
              <a:cubicBezTo>
                <a:pt x="969913" y="0"/>
                <a:pt x="997893" y="9749"/>
                <a:pt x="1017538" y="29245"/>
              </a:cubicBezTo>
              <a:cubicBezTo>
                <a:pt x="1037183" y="48742"/>
                <a:pt x="1047006" y="76052"/>
                <a:pt x="1047006" y="111175"/>
              </a:cubicBezTo>
              <a:cubicBezTo>
                <a:pt x="1047006" y="136674"/>
                <a:pt x="1042715" y="157585"/>
                <a:pt x="1034132" y="173906"/>
              </a:cubicBezTo>
              <a:cubicBezTo>
                <a:pt x="1025550" y="190227"/>
                <a:pt x="1013147" y="202927"/>
                <a:pt x="996925" y="212006"/>
              </a:cubicBezTo>
              <a:cubicBezTo>
                <a:pt x="980703" y="221085"/>
                <a:pt x="960487" y="225624"/>
                <a:pt x="936278" y="225624"/>
              </a:cubicBezTo>
              <a:cubicBezTo>
                <a:pt x="911671" y="225624"/>
                <a:pt x="891307" y="221705"/>
                <a:pt x="875184" y="213866"/>
              </a:cubicBezTo>
              <a:cubicBezTo>
                <a:pt x="859061" y="206028"/>
                <a:pt x="845989" y="193626"/>
                <a:pt x="835968" y="176659"/>
              </a:cubicBezTo>
              <a:cubicBezTo>
                <a:pt x="825947" y="159693"/>
                <a:pt x="820936" y="138460"/>
                <a:pt x="820936" y="112961"/>
              </a:cubicBezTo>
              <a:cubicBezTo>
                <a:pt x="820936" y="77341"/>
                <a:pt x="830858" y="49610"/>
                <a:pt x="850702" y="29766"/>
              </a:cubicBezTo>
              <a:cubicBezTo>
                <a:pt x="870545" y="9922"/>
                <a:pt x="898178" y="0"/>
                <a:pt x="933599" y="0"/>
              </a:cubicBezTo>
              <a:close/>
              <a:moveTo>
                <a:pt x="693688" y="0"/>
              </a:moveTo>
              <a:cubicBezTo>
                <a:pt x="721171" y="0"/>
                <a:pt x="742776" y="5557"/>
                <a:pt x="758503" y="16669"/>
              </a:cubicBezTo>
              <a:cubicBezTo>
                <a:pt x="774229" y="27782"/>
                <a:pt x="785912" y="44847"/>
                <a:pt x="793552" y="67866"/>
              </a:cubicBezTo>
              <a:lnTo>
                <a:pt x="734020" y="81112"/>
              </a:lnTo>
              <a:cubicBezTo>
                <a:pt x="731937" y="74464"/>
                <a:pt x="729754" y="69602"/>
                <a:pt x="727472" y="66527"/>
              </a:cubicBezTo>
              <a:cubicBezTo>
                <a:pt x="723702" y="61367"/>
                <a:pt x="719088" y="57398"/>
                <a:pt x="713631" y="54620"/>
              </a:cubicBezTo>
              <a:cubicBezTo>
                <a:pt x="708174" y="51842"/>
                <a:pt x="702072" y="50453"/>
                <a:pt x="695325" y="50453"/>
              </a:cubicBezTo>
              <a:cubicBezTo>
                <a:pt x="680045" y="50453"/>
                <a:pt x="668338" y="56598"/>
                <a:pt x="660202" y="68887"/>
              </a:cubicBezTo>
              <a:cubicBezTo>
                <a:pt x="654050" y="78004"/>
                <a:pt x="650974" y="92323"/>
                <a:pt x="650974" y="111845"/>
              </a:cubicBezTo>
              <a:cubicBezTo>
                <a:pt x="650974" y="136026"/>
                <a:pt x="654645" y="152601"/>
                <a:pt x="661988" y="161570"/>
              </a:cubicBezTo>
              <a:cubicBezTo>
                <a:pt x="669330" y="170538"/>
                <a:pt x="679649" y="175022"/>
                <a:pt x="692944" y="175022"/>
              </a:cubicBezTo>
              <a:cubicBezTo>
                <a:pt x="705842" y="175022"/>
                <a:pt x="715591" y="171401"/>
                <a:pt x="722189" y="164158"/>
              </a:cubicBezTo>
              <a:cubicBezTo>
                <a:pt x="728787" y="156915"/>
                <a:pt x="733574" y="146398"/>
                <a:pt x="736550" y="132606"/>
              </a:cubicBezTo>
              <a:lnTo>
                <a:pt x="795635" y="150466"/>
              </a:lnTo>
              <a:cubicBezTo>
                <a:pt x="791667" y="167035"/>
                <a:pt x="785416" y="180876"/>
                <a:pt x="776883" y="191989"/>
              </a:cubicBezTo>
              <a:cubicBezTo>
                <a:pt x="768350" y="203101"/>
                <a:pt x="757758" y="211485"/>
                <a:pt x="745108" y="217141"/>
              </a:cubicBezTo>
              <a:cubicBezTo>
                <a:pt x="732458" y="222796"/>
                <a:pt x="716359" y="225624"/>
                <a:pt x="696813" y="225624"/>
              </a:cubicBezTo>
              <a:cubicBezTo>
                <a:pt x="673100" y="225624"/>
                <a:pt x="653728" y="222178"/>
                <a:pt x="638696" y="215287"/>
              </a:cubicBezTo>
              <a:cubicBezTo>
                <a:pt x="623664" y="208396"/>
                <a:pt x="610691" y="196275"/>
                <a:pt x="599777" y="178923"/>
              </a:cubicBezTo>
              <a:cubicBezTo>
                <a:pt x="588863" y="161571"/>
                <a:pt x="583406" y="139361"/>
                <a:pt x="583406" y="112291"/>
              </a:cubicBezTo>
              <a:cubicBezTo>
                <a:pt x="583406" y="76200"/>
                <a:pt x="593006" y="48462"/>
                <a:pt x="612205" y="29078"/>
              </a:cubicBezTo>
              <a:cubicBezTo>
                <a:pt x="631403" y="9693"/>
                <a:pt x="658565" y="0"/>
                <a:pt x="693688" y="0"/>
              </a:cubicBezTo>
              <a:close/>
            </a:path>
          </a:pathLst>
        </a:custGeom>
        <a:blipFill>
          <a:blip xmlns:r="http://schemas.openxmlformats.org/officeDocument/2006/relationships" r:embed="rId1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>
    <xdr:from>
      <xdr:col>0</xdr:col>
      <xdr:colOff>367665</xdr:colOff>
      <xdr:row>4</xdr:row>
      <xdr:rowOff>84610</xdr:rowOff>
    </xdr:from>
    <xdr:to>
      <xdr:col>1</xdr:col>
      <xdr:colOff>471696</xdr:colOff>
      <xdr:row>5</xdr:row>
      <xdr:rowOff>154024</xdr:rowOff>
    </xdr:to>
    <xdr:sp macro="" textlink="">
      <xdr:nvSpPr>
        <xdr:cNvPr id="3" name="srm">
          <a:extLst>
            <a:ext uri="{FF2B5EF4-FFF2-40B4-BE49-F238E27FC236}">
              <a16:creationId xmlns:a16="http://schemas.microsoft.com/office/drawing/2014/main" id="{B68C2190-4966-1789-7315-31D3B6C692C6}"/>
            </a:ext>
          </a:extLst>
        </xdr:cNvPr>
        <xdr:cNvSpPr/>
      </xdr:nvSpPr>
      <xdr:spPr>
        <a:xfrm>
          <a:off x="367665" y="755170"/>
          <a:ext cx="713631" cy="237054"/>
        </a:xfrm>
        <a:custGeom>
          <a:avLst/>
          <a:gdLst/>
          <a:ahLst/>
          <a:cxnLst/>
          <a:rect l="l" t="t" r="r" b="b"/>
          <a:pathLst>
            <a:path w="713631" h="225624">
              <a:moveTo>
                <a:pt x="299442" y="47774"/>
              </a:moveTo>
              <a:lnTo>
                <a:pt x="299442" y="92125"/>
              </a:lnTo>
              <a:lnTo>
                <a:pt x="327868" y="92125"/>
              </a:lnTo>
              <a:cubicBezTo>
                <a:pt x="330944" y="92125"/>
                <a:pt x="336897" y="91133"/>
                <a:pt x="345728" y="89148"/>
              </a:cubicBezTo>
              <a:cubicBezTo>
                <a:pt x="350192" y="88255"/>
                <a:pt x="353839" y="85973"/>
                <a:pt x="356666" y="82302"/>
              </a:cubicBezTo>
              <a:cubicBezTo>
                <a:pt x="359494" y="78631"/>
                <a:pt x="360908" y="74414"/>
                <a:pt x="360908" y="69652"/>
              </a:cubicBezTo>
              <a:cubicBezTo>
                <a:pt x="360908" y="62607"/>
                <a:pt x="358676" y="57200"/>
                <a:pt x="354211" y="53430"/>
              </a:cubicBezTo>
              <a:cubicBezTo>
                <a:pt x="349746" y="49659"/>
                <a:pt x="341362" y="47774"/>
                <a:pt x="329059" y="47774"/>
              </a:cubicBezTo>
              <a:close/>
              <a:moveTo>
                <a:pt x="468213" y="3721"/>
              </a:moveTo>
              <a:lnTo>
                <a:pt x="556877" y="3721"/>
              </a:lnTo>
              <a:lnTo>
                <a:pt x="591071" y="136476"/>
              </a:lnTo>
              <a:lnTo>
                <a:pt x="625020" y="3721"/>
              </a:lnTo>
              <a:lnTo>
                <a:pt x="713631" y="3721"/>
              </a:lnTo>
              <a:lnTo>
                <a:pt x="713631" y="221903"/>
              </a:lnTo>
              <a:lnTo>
                <a:pt x="658415" y="221903"/>
              </a:lnTo>
              <a:lnTo>
                <a:pt x="658415" y="55513"/>
              </a:lnTo>
              <a:lnTo>
                <a:pt x="615871" y="221903"/>
              </a:lnTo>
              <a:lnTo>
                <a:pt x="565893" y="221903"/>
              </a:lnTo>
              <a:lnTo>
                <a:pt x="523428" y="55513"/>
              </a:lnTo>
              <a:lnTo>
                <a:pt x="523428" y="221903"/>
              </a:lnTo>
              <a:lnTo>
                <a:pt x="468213" y="221903"/>
              </a:lnTo>
              <a:close/>
              <a:moveTo>
                <a:pt x="231725" y="3721"/>
              </a:moveTo>
              <a:lnTo>
                <a:pt x="344090" y="3721"/>
              </a:lnTo>
              <a:cubicBezTo>
                <a:pt x="364926" y="3721"/>
                <a:pt x="380851" y="5507"/>
                <a:pt x="391864" y="9079"/>
              </a:cubicBezTo>
              <a:cubicBezTo>
                <a:pt x="402878" y="12651"/>
                <a:pt x="411758" y="19274"/>
                <a:pt x="418504" y="28947"/>
              </a:cubicBezTo>
              <a:cubicBezTo>
                <a:pt x="425251" y="38621"/>
                <a:pt x="428625" y="50404"/>
                <a:pt x="428625" y="64294"/>
              </a:cubicBezTo>
              <a:cubicBezTo>
                <a:pt x="428625" y="76399"/>
                <a:pt x="426044" y="86842"/>
                <a:pt x="420881" y="95622"/>
              </a:cubicBezTo>
              <a:cubicBezTo>
                <a:pt x="415719" y="104403"/>
                <a:pt x="408621" y="111522"/>
                <a:pt x="399587" y="116979"/>
              </a:cubicBezTo>
              <a:cubicBezTo>
                <a:pt x="393829" y="120452"/>
                <a:pt x="385937" y="123329"/>
                <a:pt x="375909" y="125611"/>
              </a:cubicBezTo>
              <a:cubicBezTo>
                <a:pt x="383940" y="128293"/>
                <a:pt x="389790" y="130975"/>
                <a:pt x="393459" y="133655"/>
              </a:cubicBezTo>
              <a:cubicBezTo>
                <a:pt x="395938" y="135443"/>
                <a:pt x="399533" y="139266"/>
                <a:pt x="404243" y="145125"/>
              </a:cubicBezTo>
              <a:cubicBezTo>
                <a:pt x="408952" y="150985"/>
                <a:pt x="412100" y="155503"/>
                <a:pt x="413686" y="158681"/>
              </a:cubicBezTo>
              <a:lnTo>
                <a:pt x="446335" y="221903"/>
              </a:lnTo>
              <a:lnTo>
                <a:pt x="370156" y="221903"/>
              </a:lnTo>
              <a:lnTo>
                <a:pt x="334119" y="155228"/>
              </a:lnTo>
              <a:cubicBezTo>
                <a:pt x="329555" y="146596"/>
                <a:pt x="325487" y="140990"/>
                <a:pt x="321915" y="138411"/>
              </a:cubicBezTo>
              <a:cubicBezTo>
                <a:pt x="317053" y="135037"/>
                <a:pt x="311547" y="133350"/>
                <a:pt x="305395" y="133350"/>
              </a:cubicBezTo>
              <a:lnTo>
                <a:pt x="299442" y="133350"/>
              </a:lnTo>
              <a:lnTo>
                <a:pt x="299442" y="221903"/>
              </a:lnTo>
              <a:lnTo>
                <a:pt x="231725" y="221903"/>
              </a:lnTo>
              <a:close/>
              <a:moveTo>
                <a:pt x="100905" y="0"/>
              </a:moveTo>
              <a:cubicBezTo>
                <a:pt x="128786" y="0"/>
                <a:pt x="150043" y="5185"/>
                <a:pt x="164678" y="15553"/>
              </a:cubicBezTo>
              <a:cubicBezTo>
                <a:pt x="179313" y="25921"/>
                <a:pt x="188019" y="42416"/>
                <a:pt x="190797" y="65038"/>
              </a:cubicBezTo>
              <a:lnTo>
                <a:pt x="127248" y="68759"/>
              </a:lnTo>
              <a:cubicBezTo>
                <a:pt x="125561" y="58936"/>
                <a:pt x="122014" y="51793"/>
                <a:pt x="116607" y="47328"/>
              </a:cubicBezTo>
              <a:cubicBezTo>
                <a:pt x="111199" y="42863"/>
                <a:pt x="103733" y="40630"/>
                <a:pt x="94208" y="40630"/>
              </a:cubicBezTo>
              <a:cubicBezTo>
                <a:pt x="86370" y="40630"/>
                <a:pt x="80466" y="42292"/>
                <a:pt x="76497" y="45616"/>
              </a:cubicBezTo>
              <a:cubicBezTo>
                <a:pt x="72529" y="48940"/>
                <a:pt x="70544" y="52983"/>
                <a:pt x="70544" y="57746"/>
              </a:cubicBezTo>
              <a:cubicBezTo>
                <a:pt x="70544" y="61218"/>
                <a:pt x="72181" y="64344"/>
                <a:pt x="75456" y="67122"/>
              </a:cubicBezTo>
              <a:cubicBezTo>
                <a:pt x="78631" y="69999"/>
                <a:pt x="86171" y="72678"/>
                <a:pt x="98078" y="75159"/>
              </a:cubicBezTo>
              <a:cubicBezTo>
                <a:pt x="127545" y="81509"/>
                <a:pt x="148654" y="87933"/>
                <a:pt x="161404" y="94432"/>
              </a:cubicBezTo>
              <a:cubicBezTo>
                <a:pt x="174153" y="100931"/>
                <a:pt x="183430" y="108992"/>
                <a:pt x="189235" y="118616"/>
              </a:cubicBezTo>
              <a:cubicBezTo>
                <a:pt x="195039" y="128241"/>
                <a:pt x="197941" y="139006"/>
                <a:pt x="197941" y="150912"/>
              </a:cubicBezTo>
              <a:cubicBezTo>
                <a:pt x="197941" y="164902"/>
                <a:pt x="194072" y="177800"/>
                <a:pt x="186333" y="189607"/>
              </a:cubicBezTo>
              <a:cubicBezTo>
                <a:pt x="178594" y="201414"/>
                <a:pt x="167779" y="210369"/>
                <a:pt x="153888" y="216471"/>
              </a:cubicBezTo>
              <a:cubicBezTo>
                <a:pt x="139997" y="222573"/>
                <a:pt x="122485" y="225624"/>
                <a:pt x="101352" y="225624"/>
              </a:cubicBezTo>
              <a:cubicBezTo>
                <a:pt x="64244" y="225624"/>
                <a:pt x="38546" y="218480"/>
                <a:pt x="24259" y="204193"/>
              </a:cubicBezTo>
              <a:cubicBezTo>
                <a:pt x="9971" y="189905"/>
                <a:pt x="1885" y="171748"/>
                <a:pt x="0" y="149721"/>
              </a:cubicBezTo>
              <a:lnTo>
                <a:pt x="64145" y="145703"/>
              </a:lnTo>
              <a:cubicBezTo>
                <a:pt x="65534" y="156121"/>
                <a:pt x="68362" y="164059"/>
                <a:pt x="72628" y="169516"/>
              </a:cubicBezTo>
              <a:cubicBezTo>
                <a:pt x="79573" y="178346"/>
                <a:pt x="89495" y="182761"/>
                <a:pt x="102394" y="182761"/>
              </a:cubicBezTo>
              <a:cubicBezTo>
                <a:pt x="112018" y="182761"/>
                <a:pt x="119434" y="180504"/>
                <a:pt x="124643" y="175990"/>
              </a:cubicBezTo>
              <a:cubicBezTo>
                <a:pt x="129852" y="171475"/>
                <a:pt x="132457" y="166241"/>
                <a:pt x="132457" y="160288"/>
              </a:cubicBezTo>
              <a:cubicBezTo>
                <a:pt x="132457" y="154633"/>
                <a:pt x="129976" y="149573"/>
                <a:pt x="125015" y="145108"/>
              </a:cubicBezTo>
              <a:cubicBezTo>
                <a:pt x="120055" y="140643"/>
                <a:pt x="108545" y="136426"/>
                <a:pt x="90487" y="132457"/>
              </a:cubicBezTo>
              <a:cubicBezTo>
                <a:pt x="60920" y="125810"/>
                <a:pt x="39836" y="116979"/>
                <a:pt x="27235" y="105966"/>
              </a:cubicBezTo>
              <a:cubicBezTo>
                <a:pt x="14535" y="94953"/>
                <a:pt x="8185" y="80913"/>
                <a:pt x="8185" y="63848"/>
              </a:cubicBezTo>
              <a:cubicBezTo>
                <a:pt x="8185" y="52636"/>
                <a:pt x="11435" y="42044"/>
                <a:pt x="17934" y="32073"/>
              </a:cubicBezTo>
              <a:cubicBezTo>
                <a:pt x="24432" y="22101"/>
                <a:pt x="34205" y="14263"/>
                <a:pt x="47253" y="8558"/>
              </a:cubicBezTo>
              <a:cubicBezTo>
                <a:pt x="60300" y="2853"/>
                <a:pt x="78184" y="0"/>
                <a:pt x="100905" y="0"/>
              </a:cubicBezTo>
              <a:close/>
            </a:path>
          </a:pathLst>
        </a:custGeom>
        <a:blipFill>
          <a:blip xmlns:r="http://schemas.openxmlformats.org/officeDocument/2006/relationships" r:embed="rId2"/>
          <a:stretch>
            <a:fillRect/>
          </a:stretch>
        </a:blip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>
          <a:noAutofit/>
        </a:bodyPr>
        <a:lstStyle>
          <a:defPPr>
            <a:defRPr lang="en-US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/>
        </a:p>
      </xdr:txBody>
    </xdr:sp>
    <xdr:clientData/>
  </xdr:twoCellAnchor>
  <xdr:twoCellAnchor editAs="oneCell">
    <xdr:from>
      <xdr:col>0</xdr:col>
      <xdr:colOff>367665</xdr:colOff>
      <xdr:row>9</xdr:row>
      <xdr:rowOff>78569</xdr:rowOff>
    </xdr:from>
    <xdr:to>
      <xdr:col>3</xdr:col>
      <xdr:colOff>71199</xdr:colOff>
      <xdr:row>10</xdr:row>
      <xdr:rowOff>136553</xdr:rowOff>
    </xdr:to>
    <xdr:pic>
      <xdr:nvPicPr>
        <xdr:cNvPr id="4" name="hostnation" descr="How To Grow Cherry Blossoms At Home - realestate.com.au">
          <a:extLst>
            <a:ext uri="{FF2B5EF4-FFF2-40B4-BE49-F238E27FC236}">
              <a16:creationId xmlns:a16="http://schemas.microsoft.com/office/drawing/2014/main" id="{35EB2DD8-B462-0F78-EFFC-7CBEBF39B0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49" t="41228" r="5916" b="42451"/>
        <a:stretch>
          <a:fillRect/>
        </a:stretch>
      </xdr:blipFill>
      <xdr:spPr bwMode="auto">
        <a:xfrm>
          <a:off x="367665" y="1587329"/>
          <a:ext cx="1532334" cy="225624"/>
        </a:xfrm>
        <a:custGeom>
          <a:avLst/>
          <a:gdLst>
            <a:gd name="connsiteX0" fmla="*/ 1248296 w 1532334"/>
            <a:gd name="connsiteY0" fmla="*/ 60276 h 225624"/>
            <a:gd name="connsiteX1" fmla="*/ 1224465 w 1532334"/>
            <a:gd name="connsiteY1" fmla="*/ 138708 h 225624"/>
            <a:gd name="connsiteX2" fmla="*/ 1272378 w 1532334"/>
            <a:gd name="connsiteY2" fmla="*/ 138708 h 225624"/>
            <a:gd name="connsiteX3" fmla="*/ 332333 w 1532334"/>
            <a:gd name="connsiteY3" fmla="*/ 51048 h 225624"/>
            <a:gd name="connsiteX4" fmla="*/ 299591 w 1532334"/>
            <a:gd name="connsiteY4" fmla="*/ 65485 h 225624"/>
            <a:gd name="connsiteX5" fmla="*/ 287238 w 1532334"/>
            <a:gd name="connsiteY5" fmla="*/ 113259 h 225624"/>
            <a:gd name="connsiteX6" fmla="*/ 299517 w 1532334"/>
            <a:gd name="connsiteY6" fmla="*/ 160735 h 225624"/>
            <a:gd name="connsiteX7" fmla="*/ 332929 w 1532334"/>
            <a:gd name="connsiteY7" fmla="*/ 175171 h 225624"/>
            <a:gd name="connsiteX8" fmla="*/ 366564 w 1532334"/>
            <a:gd name="connsiteY8" fmla="*/ 161032 h 225624"/>
            <a:gd name="connsiteX9" fmla="*/ 378470 w 1532334"/>
            <a:gd name="connsiteY9" fmla="*/ 110282 h 225624"/>
            <a:gd name="connsiteX10" fmla="*/ 366043 w 1532334"/>
            <a:gd name="connsiteY10" fmla="*/ 65262 h 225624"/>
            <a:gd name="connsiteX11" fmla="*/ 332333 w 1532334"/>
            <a:gd name="connsiteY11" fmla="*/ 51048 h 225624"/>
            <a:gd name="connsiteX12" fmla="*/ 1327398 w 1532334"/>
            <a:gd name="connsiteY12" fmla="*/ 3721 h 225624"/>
            <a:gd name="connsiteX13" fmla="*/ 1532334 w 1532334"/>
            <a:gd name="connsiteY13" fmla="*/ 3721 h 225624"/>
            <a:gd name="connsiteX14" fmla="*/ 1532334 w 1532334"/>
            <a:gd name="connsiteY14" fmla="*/ 57597 h 225624"/>
            <a:gd name="connsiteX15" fmla="*/ 1463576 w 1532334"/>
            <a:gd name="connsiteY15" fmla="*/ 57597 h 225624"/>
            <a:gd name="connsiteX16" fmla="*/ 1463576 w 1532334"/>
            <a:gd name="connsiteY16" fmla="*/ 221903 h 225624"/>
            <a:gd name="connsiteX17" fmla="*/ 1396157 w 1532334"/>
            <a:gd name="connsiteY17" fmla="*/ 221903 h 225624"/>
            <a:gd name="connsiteX18" fmla="*/ 1396157 w 1532334"/>
            <a:gd name="connsiteY18" fmla="*/ 57597 h 225624"/>
            <a:gd name="connsiteX19" fmla="*/ 1327398 w 1532334"/>
            <a:gd name="connsiteY19" fmla="*/ 57597 h 225624"/>
            <a:gd name="connsiteX20" fmla="*/ 924074 w 1532334"/>
            <a:gd name="connsiteY20" fmla="*/ 3721 h 225624"/>
            <a:gd name="connsiteX21" fmla="*/ 987028 w 1532334"/>
            <a:gd name="connsiteY21" fmla="*/ 3721 h 225624"/>
            <a:gd name="connsiteX22" fmla="*/ 1069181 w 1532334"/>
            <a:gd name="connsiteY22" fmla="*/ 124430 h 225624"/>
            <a:gd name="connsiteX23" fmla="*/ 1069181 w 1532334"/>
            <a:gd name="connsiteY23" fmla="*/ 3721 h 225624"/>
            <a:gd name="connsiteX24" fmla="*/ 1132731 w 1532334"/>
            <a:gd name="connsiteY24" fmla="*/ 3721 h 225624"/>
            <a:gd name="connsiteX25" fmla="*/ 1132731 w 1532334"/>
            <a:gd name="connsiteY25" fmla="*/ 215568 h 225624"/>
            <a:gd name="connsiteX26" fmla="*/ 1212354 w 1532334"/>
            <a:gd name="connsiteY26" fmla="*/ 3721 h 225624"/>
            <a:gd name="connsiteX27" fmla="*/ 1285894 w 1532334"/>
            <a:gd name="connsiteY27" fmla="*/ 3721 h 225624"/>
            <a:gd name="connsiteX28" fmla="*/ 1367879 w 1532334"/>
            <a:gd name="connsiteY28" fmla="*/ 221903 h 225624"/>
            <a:gd name="connsiteX29" fmla="*/ 1297279 w 1532334"/>
            <a:gd name="connsiteY29" fmla="*/ 221903 h 225624"/>
            <a:gd name="connsiteX30" fmla="*/ 1286363 w 1532334"/>
            <a:gd name="connsiteY30" fmla="*/ 185887 h 225624"/>
            <a:gd name="connsiteX31" fmla="*/ 1209822 w 1532334"/>
            <a:gd name="connsiteY31" fmla="*/ 185887 h 225624"/>
            <a:gd name="connsiteX32" fmla="*/ 1199187 w 1532334"/>
            <a:gd name="connsiteY32" fmla="*/ 221903 h 225624"/>
            <a:gd name="connsiteX33" fmla="*/ 1132731 w 1532334"/>
            <a:gd name="connsiteY33" fmla="*/ 221903 h 225624"/>
            <a:gd name="connsiteX34" fmla="*/ 1130350 w 1532334"/>
            <a:gd name="connsiteY34" fmla="*/ 221903 h 225624"/>
            <a:gd name="connsiteX35" fmla="*/ 1069181 w 1532334"/>
            <a:gd name="connsiteY35" fmla="*/ 221903 h 225624"/>
            <a:gd name="connsiteX36" fmla="*/ 987475 w 1532334"/>
            <a:gd name="connsiteY36" fmla="*/ 102106 h 225624"/>
            <a:gd name="connsiteX37" fmla="*/ 987475 w 1532334"/>
            <a:gd name="connsiteY37" fmla="*/ 221903 h 225624"/>
            <a:gd name="connsiteX38" fmla="*/ 924074 w 1532334"/>
            <a:gd name="connsiteY38" fmla="*/ 221903 h 225624"/>
            <a:gd name="connsiteX39" fmla="*/ 0 w 1532334"/>
            <a:gd name="connsiteY39" fmla="*/ 3721 h 225624"/>
            <a:gd name="connsiteX40" fmla="*/ 67419 w 1532334"/>
            <a:gd name="connsiteY40" fmla="*/ 3721 h 225624"/>
            <a:gd name="connsiteX41" fmla="*/ 67419 w 1532334"/>
            <a:gd name="connsiteY41" fmla="*/ 80070 h 225624"/>
            <a:gd name="connsiteX42" fmla="*/ 141089 w 1532334"/>
            <a:gd name="connsiteY42" fmla="*/ 80070 h 225624"/>
            <a:gd name="connsiteX43" fmla="*/ 141089 w 1532334"/>
            <a:gd name="connsiteY43" fmla="*/ 3721 h 225624"/>
            <a:gd name="connsiteX44" fmla="*/ 208806 w 1532334"/>
            <a:gd name="connsiteY44" fmla="*/ 3721 h 225624"/>
            <a:gd name="connsiteX45" fmla="*/ 208806 w 1532334"/>
            <a:gd name="connsiteY45" fmla="*/ 221903 h 225624"/>
            <a:gd name="connsiteX46" fmla="*/ 141089 w 1532334"/>
            <a:gd name="connsiteY46" fmla="*/ 221903 h 225624"/>
            <a:gd name="connsiteX47" fmla="*/ 141089 w 1532334"/>
            <a:gd name="connsiteY47" fmla="*/ 133648 h 225624"/>
            <a:gd name="connsiteX48" fmla="*/ 67419 w 1532334"/>
            <a:gd name="connsiteY48" fmla="*/ 133648 h 225624"/>
            <a:gd name="connsiteX49" fmla="*/ 67419 w 1532334"/>
            <a:gd name="connsiteY49" fmla="*/ 221903 h 225624"/>
            <a:gd name="connsiteX50" fmla="*/ 0 w 1532334"/>
            <a:gd name="connsiteY50" fmla="*/ 221903 h 225624"/>
            <a:gd name="connsiteX51" fmla="*/ 546051 w 1532334"/>
            <a:gd name="connsiteY51" fmla="*/ 0 h 225624"/>
            <a:gd name="connsiteX52" fmla="*/ 609823 w 1532334"/>
            <a:gd name="connsiteY52" fmla="*/ 15553 h 225624"/>
            <a:gd name="connsiteX53" fmla="*/ 627329 w 1532334"/>
            <a:gd name="connsiteY53" fmla="*/ 35701 h 225624"/>
            <a:gd name="connsiteX54" fmla="*/ 632073 w 1532334"/>
            <a:gd name="connsiteY54" fmla="*/ 47538 h 225624"/>
            <a:gd name="connsiteX55" fmla="*/ 632073 w 1532334"/>
            <a:gd name="connsiteY55" fmla="*/ 3721 h 225624"/>
            <a:gd name="connsiteX56" fmla="*/ 837009 w 1532334"/>
            <a:gd name="connsiteY56" fmla="*/ 3721 h 225624"/>
            <a:gd name="connsiteX57" fmla="*/ 837009 w 1532334"/>
            <a:gd name="connsiteY57" fmla="*/ 57597 h 225624"/>
            <a:gd name="connsiteX58" fmla="*/ 768251 w 1532334"/>
            <a:gd name="connsiteY58" fmla="*/ 57597 h 225624"/>
            <a:gd name="connsiteX59" fmla="*/ 768251 w 1532334"/>
            <a:gd name="connsiteY59" fmla="*/ 221903 h 225624"/>
            <a:gd name="connsiteX60" fmla="*/ 700832 w 1532334"/>
            <a:gd name="connsiteY60" fmla="*/ 221903 h 225624"/>
            <a:gd name="connsiteX61" fmla="*/ 700832 w 1532334"/>
            <a:gd name="connsiteY61" fmla="*/ 57597 h 225624"/>
            <a:gd name="connsiteX62" fmla="*/ 634440 w 1532334"/>
            <a:gd name="connsiteY62" fmla="*/ 57597 h 225624"/>
            <a:gd name="connsiteX63" fmla="*/ 635943 w 1532334"/>
            <a:gd name="connsiteY63" fmla="*/ 65038 h 225624"/>
            <a:gd name="connsiteX64" fmla="*/ 572393 w 1532334"/>
            <a:gd name="connsiteY64" fmla="*/ 68759 h 225624"/>
            <a:gd name="connsiteX65" fmla="*/ 561752 w 1532334"/>
            <a:gd name="connsiteY65" fmla="*/ 47328 h 225624"/>
            <a:gd name="connsiteX66" fmla="*/ 539353 w 1532334"/>
            <a:gd name="connsiteY66" fmla="*/ 40630 h 225624"/>
            <a:gd name="connsiteX67" fmla="*/ 521643 w 1532334"/>
            <a:gd name="connsiteY67" fmla="*/ 45616 h 225624"/>
            <a:gd name="connsiteX68" fmla="*/ 515690 w 1532334"/>
            <a:gd name="connsiteY68" fmla="*/ 57746 h 225624"/>
            <a:gd name="connsiteX69" fmla="*/ 520601 w 1532334"/>
            <a:gd name="connsiteY69" fmla="*/ 67122 h 225624"/>
            <a:gd name="connsiteX70" fmla="*/ 543223 w 1532334"/>
            <a:gd name="connsiteY70" fmla="*/ 75159 h 225624"/>
            <a:gd name="connsiteX71" fmla="*/ 606549 w 1532334"/>
            <a:gd name="connsiteY71" fmla="*/ 94432 h 225624"/>
            <a:gd name="connsiteX72" fmla="*/ 634380 w 1532334"/>
            <a:gd name="connsiteY72" fmla="*/ 118616 h 225624"/>
            <a:gd name="connsiteX73" fmla="*/ 643086 w 1532334"/>
            <a:gd name="connsiteY73" fmla="*/ 150912 h 225624"/>
            <a:gd name="connsiteX74" fmla="*/ 631478 w 1532334"/>
            <a:gd name="connsiteY74" fmla="*/ 189607 h 225624"/>
            <a:gd name="connsiteX75" fmla="*/ 599033 w 1532334"/>
            <a:gd name="connsiteY75" fmla="*/ 216471 h 225624"/>
            <a:gd name="connsiteX76" fmla="*/ 546497 w 1532334"/>
            <a:gd name="connsiteY76" fmla="*/ 225624 h 225624"/>
            <a:gd name="connsiteX77" fmla="*/ 469404 w 1532334"/>
            <a:gd name="connsiteY77" fmla="*/ 204193 h 225624"/>
            <a:gd name="connsiteX78" fmla="*/ 445145 w 1532334"/>
            <a:gd name="connsiteY78" fmla="*/ 149721 h 225624"/>
            <a:gd name="connsiteX79" fmla="*/ 509290 w 1532334"/>
            <a:gd name="connsiteY79" fmla="*/ 145703 h 225624"/>
            <a:gd name="connsiteX80" fmla="*/ 517773 w 1532334"/>
            <a:gd name="connsiteY80" fmla="*/ 169516 h 225624"/>
            <a:gd name="connsiteX81" fmla="*/ 547539 w 1532334"/>
            <a:gd name="connsiteY81" fmla="*/ 182761 h 225624"/>
            <a:gd name="connsiteX82" fmla="*/ 569789 w 1532334"/>
            <a:gd name="connsiteY82" fmla="*/ 175990 h 225624"/>
            <a:gd name="connsiteX83" fmla="*/ 577602 w 1532334"/>
            <a:gd name="connsiteY83" fmla="*/ 160288 h 225624"/>
            <a:gd name="connsiteX84" fmla="*/ 570161 w 1532334"/>
            <a:gd name="connsiteY84" fmla="*/ 145108 h 225624"/>
            <a:gd name="connsiteX85" fmla="*/ 535633 w 1532334"/>
            <a:gd name="connsiteY85" fmla="*/ 132457 h 225624"/>
            <a:gd name="connsiteX86" fmla="*/ 472381 w 1532334"/>
            <a:gd name="connsiteY86" fmla="*/ 105966 h 225624"/>
            <a:gd name="connsiteX87" fmla="*/ 453331 w 1532334"/>
            <a:gd name="connsiteY87" fmla="*/ 63848 h 225624"/>
            <a:gd name="connsiteX88" fmla="*/ 463079 w 1532334"/>
            <a:gd name="connsiteY88" fmla="*/ 32073 h 225624"/>
            <a:gd name="connsiteX89" fmla="*/ 492398 w 1532334"/>
            <a:gd name="connsiteY89" fmla="*/ 8558 h 225624"/>
            <a:gd name="connsiteX90" fmla="*/ 546051 w 1532334"/>
            <a:gd name="connsiteY90" fmla="*/ 0 h 225624"/>
            <a:gd name="connsiteX91" fmla="*/ 332482 w 1532334"/>
            <a:gd name="connsiteY91" fmla="*/ 0 h 225624"/>
            <a:gd name="connsiteX92" fmla="*/ 416421 w 1532334"/>
            <a:gd name="connsiteY92" fmla="*/ 29245 h 225624"/>
            <a:gd name="connsiteX93" fmla="*/ 445889 w 1532334"/>
            <a:gd name="connsiteY93" fmla="*/ 111175 h 225624"/>
            <a:gd name="connsiteX94" fmla="*/ 433016 w 1532334"/>
            <a:gd name="connsiteY94" fmla="*/ 173906 h 225624"/>
            <a:gd name="connsiteX95" fmla="*/ 395808 w 1532334"/>
            <a:gd name="connsiteY95" fmla="*/ 212006 h 225624"/>
            <a:gd name="connsiteX96" fmla="*/ 335161 w 1532334"/>
            <a:gd name="connsiteY96" fmla="*/ 225624 h 225624"/>
            <a:gd name="connsiteX97" fmla="*/ 274067 w 1532334"/>
            <a:gd name="connsiteY97" fmla="*/ 213866 h 225624"/>
            <a:gd name="connsiteX98" fmla="*/ 234851 w 1532334"/>
            <a:gd name="connsiteY98" fmla="*/ 176659 h 225624"/>
            <a:gd name="connsiteX99" fmla="*/ 219819 w 1532334"/>
            <a:gd name="connsiteY99" fmla="*/ 112961 h 225624"/>
            <a:gd name="connsiteX100" fmla="*/ 249585 w 1532334"/>
            <a:gd name="connsiteY100" fmla="*/ 29766 h 225624"/>
            <a:gd name="connsiteX101" fmla="*/ 332482 w 1532334"/>
            <a:gd name="connsiteY101" fmla="*/ 0 h 2256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</a:cxnLst>
          <a:rect l="l" t="t" r="r" b="b"/>
          <a:pathLst>
            <a:path w="1532334" h="225624">
              <a:moveTo>
                <a:pt x="1248296" y="60276"/>
              </a:moveTo>
              <a:lnTo>
                <a:pt x="1224465" y="138708"/>
              </a:lnTo>
              <a:lnTo>
                <a:pt x="1272378" y="138708"/>
              </a:lnTo>
              <a:close/>
              <a:moveTo>
                <a:pt x="332333" y="51048"/>
              </a:moveTo>
              <a:cubicBezTo>
                <a:pt x="318740" y="51048"/>
                <a:pt x="307826" y="55861"/>
                <a:pt x="299591" y="65485"/>
              </a:cubicBezTo>
              <a:cubicBezTo>
                <a:pt x="291356" y="75109"/>
                <a:pt x="287238" y="91034"/>
                <a:pt x="287238" y="113259"/>
              </a:cubicBezTo>
              <a:cubicBezTo>
                <a:pt x="287238" y="135285"/>
                <a:pt x="291331" y="151111"/>
                <a:pt x="299517" y="160735"/>
              </a:cubicBezTo>
              <a:cubicBezTo>
                <a:pt x="307702" y="170359"/>
                <a:pt x="318840" y="175171"/>
                <a:pt x="332929" y="175171"/>
              </a:cubicBezTo>
              <a:cubicBezTo>
                <a:pt x="347415" y="175171"/>
                <a:pt x="358626" y="170458"/>
                <a:pt x="366564" y="161032"/>
              </a:cubicBezTo>
              <a:cubicBezTo>
                <a:pt x="374501" y="151607"/>
                <a:pt x="378470" y="134690"/>
                <a:pt x="378470" y="110282"/>
              </a:cubicBezTo>
              <a:cubicBezTo>
                <a:pt x="378470" y="89744"/>
                <a:pt x="374328" y="74737"/>
                <a:pt x="366043" y="65262"/>
              </a:cubicBezTo>
              <a:cubicBezTo>
                <a:pt x="357758" y="55786"/>
                <a:pt x="346522" y="51048"/>
                <a:pt x="332333" y="51048"/>
              </a:cubicBezTo>
              <a:close/>
              <a:moveTo>
                <a:pt x="1327398" y="3721"/>
              </a:moveTo>
              <a:lnTo>
                <a:pt x="1532334" y="3721"/>
              </a:lnTo>
              <a:lnTo>
                <a:pt x="1532334" y="57597"/>
              </a:lnTo>
              <a:lnTo>
                <a:pt x="1463576" y="57597"/>
              </a:lnTo>
              <a:lnTo>
                <a:pt x="1463576" y="221903"/>
              </a:lnTo>
              <a:lnTo>
                <a:pt x="1396157" y="221903"/>
              </a:lnTo>
              <a:lnTo>
                <a:pt x="1396157" y="57597"/>
              </a:lnTo>
              <a:lnTo>
                <a:pt x="1327398" y="57597"/>
              </a:lnTo>
              <a:close/>
              <a:moveTo>
                <a:pt x="924074" y="3721"/>
              </a:moveTo>
              <a:lnTo>
                <a:pt x="987028" y="3721"/>
              </a:lnTo>
              <a:lnTo>
                <a:pt x="1069181" y="124430"/>
              </a:lnTo>
              <a:lnTo>
                <a:pt x="1069181" y="3721"/>
              </a:lnTo>
              <a:lnTo>
                <a:pt x="1132731" y="3721"/>
              </a:lnTo>
              <a:lnTo>
                <a:pt x="1132731" y="215568"/>
              </a:lnTo>
              <a:lnTo>
                <a:pt x="1212354" y="3721"/>
              </a:lnTo>
              <a:lnTo>
                <a:pt x="1285894" y="3721"/>
              </a:lnTo>
              <a:lnTo>
                <a:pt x="1367879" y="221903"/>
              </a:lnTo>
              <a:lnTo>
                <a:pt x="1297279" y="221903"/>
              </a:lnTo>
              <a:lnTo>
                <a:pt x="1286363" y="185887"/>
              </a:lnTo>
              <a:lnTo>
                <a:pt x="1209822" y="185887"/>
              </a:lnTo>
              <a:lnTo>
                <a:pt x="1199187" y="221903"/>
              </a:lnTo>
              <a:lnTo>
                <a:pt x="1132731" y="221903"/>
              </a:lnTo>
              <a:lnTo>
                <a:pt x="1130350" y="221903"/>
              </a:lnTo>
              <a:lnTo>
                <a:pt x="1069181" y="221903"/>
              </a:lnTo>
              <a:lnTo>
                <a:pt x="987475" y="102106"/>
              </a:lnTo>
              <a:lnTo>
                <a:pt x="987475" y="221903"/>
              </a:lnTo>
              <a:lnTo>
                <a:pt x="924074" y="221903"/>
              </a:lnTo>
              <a:close/>
              <a:moveTo>
                <a:pt x="0" y="3721"/>
              </a:moveTo>
              <a:lnTo>
                <a:pt x="67419" y="3721"/>
              </a:lnTo>
              <a:lnTo>
                <a:pt x="67419" y="80070"/>
              </a:lnTo>
              <a:lnTo>
                <a:pt x="141089" y="80070"/>
              </a:lnTo>
              <a:lnTo>
                <a:pt x="141089" y="3721"/>
              </a:lnTo>
              <a:lnTo>
                <a:pt x="208806" y="3721"/>
              </a:lnTo>
              <a:lnTo>
                <a:pt x="208806" y="221903"/>
              </a:lnTo>
              <a:lnTo>
                <a:pt x="141089" y="221903"/>
              </a:lnTo>
              <a:lnTo>
                <a:pt x="141089" y="133648"/>
              </a:lnTo>
              <a:lnTo>
                <a:pt x="67419" y="133648"/>
              </a:lnTo>
              <a:lnTo>
                <a:pt x="67419" y="221903"/>
              </a:lnTo>
              <a:lnTo>
                <a:pt x="0" y="221903"/>
              </a:lnTo>
              <a:close/>
              <a:moveTo>
                <a:pt x="546051" y="0"/>
              </a:moveTo>
              <a:cubicBezTo>
                <a:pt x="573931" y="0"/>
                <a:pt x="595189" y="5185"/>
                <a:pt x="609823" y="15553"/>
              </a:cubicBezTo>
              <a:cubicBezTo>
                <a:pt x="617141" y="20737"/>
                <a:pt x="622976" y="27453"/>
                <a:pt x="627329" y="35701"/>
              </a:cubicBezTo>
              <a:lnTo>
                <a:pt x="632073" y="47538"/>
              </a:lnTo>
              <a:lnTo>
                <a:pt x="632073" y="3721"/>
              </a:lnTo>
              <a:lnTo>
                <a:pt x="837009" y="3721"/>
              </a:lnTo>
              <a:lnTo>
                <a:pt x="837009" y="57597"/>
              </a:lnTo>
              <a:lnTo>
                <a:pt x="768251" y="57597"/>
              </a:lnTo>
              <a:lnTo>
                <a:pt x="768251" y="221903"/>
              </a:lnTo>
              <a:lnTo>
                <a:pt x="700832" y="221903"/>
              </a:lnTo>
              <a:lnTo>
                <a:pt x="700832" y="57597"/>
              </a:lnTo>
              <a:lnTo>
                <a:pt x="634440" y="57597"/>
              </a:lnTo>
              <a:lnTo>
                <a:pt x="635943" y="65038"/>
              </a:lnTo>
              <a:lnTo>
                <a:pt x="572393" y="68759"/>
              </a:lnTo>
              <a:cubicBezTo>
                <a:pt x="570706" y="58936"/>
                <a:pt x="567159" y="51793"/>
                <a:pt x="561752" y="47328"/>
              </a:cubicBezTo>
              <a:cubicBezTo>
                <a:pt x="556344" y="42863"/>
                <a:pt x="548878" y="40630"/>
                <a:pt x="539353" y="40630"/>
              </a:cubicBezTo>
              <a:cubicBezTo>
                <a:pt x="531515" y="40630"/>
                <a:pt x="525611" y="42292"/>
                <a:pt x="521643" y="45616"/>
              </a:cubicBezTo>
              <a:cubicBezTo>
                <a:pt x="517674" y="48940"/>
                <a:pt x="515690" y="52983"/>
                <a:pt x="515690" y="57746"/>
              </a:cubicBezTo>
              <a:cubicBezTo>
                <a:pt x="515690" y="61218"/>
                <a:pt x="517327" y="64344"/>
                <a:pt x="520601" y="67122"/>
              </a:cubicBezTo>
              <a:cubicBezTo>
                <a:pt x="523776" y="69999"/>
                <a:pt x="531316" y="72678"/>
                <a:pt x="543223" y="75159"/>
              </a:cubicBezTo>
              <a:cubicBezTo>
                <a:pt x="572691" y="81509"/>
                <a:pt x="593800" y="87933"/>
                <a:pt x="606549" y="94432"/>
              </a:cubicBezTo>
              <a:cubicBezTo>
                <a:pt x="619299" y="100931"/>
                <a:pt x="628576" y="108992"/>
                <a:pt x="634380" y="118616"/>
              </a:cubicBezTo>
              <a:cubicBezTo>
                <a:pt x="640184" y="128241"/>
                <a:pt x="643086" y="139006"/>
                <a:pt x="643086" y="150912"/>
              </a:cubicBezTo>
              <a:cubicBezTo>
                <a:pt x="643086" y="164902"/>
                <a:pt x="639217" y="177800"/>
                <a:pt x="631478" y="189607"/>
              </a:cubicBezTo>
              <a:cubicBezTo>
                <a:pt x="623739" y="201414"/>
                <a:pt x="612924" y="210369"/>
                <a:pt x="599033" y="216471"/>
              </a:cubicBezTo>
              <a:cubicBezTo>
                <a:pt x="585143" y="222573"/>
                <a:pt x="567631" y="225624"/>
                <a:pt x="546497" y="225624"/>
              </a:cubicBezTo>
              <a:cubicBezTo>
                <a:pt x="509389" y="225624"/>
                <a:pt x="483692" y="218480"/>
                <a:pt x="469404" y="204193"/>
              </a:cubicBezTo>
              <a:cubicBezTo>
                <a:pt x="455116" y="189905"/>
                <a:pt x="447030" y="171748"/>
                <a:pt x="445145" y="149721"/>
              </a:cubicBezTo>
              <a:lnTo>
                <a:pt x="509290" y="145703"/>
              </a:lnTo>
              <a:cubicBezTo>
                <a:pt x="510679" y="156121"/>
                <a:pt x="513507" y="164059"/>
                <a:pt x="517773" y="169516"/>
              </a:cubicBezTo>
              <a:cubicBezTo>
                <a:pt x="524718" y="178346"/>
                <a:pt x="534640" y="182761"/>
                <a:pt x="547539" y="182761"/>
              </a:cubicBezTo>
              <a:cubicBezTo>
                <a:pt x="557163" y="182761"/>
                <a:pt x="564580" y="180504"/>
                <a:pt x="569789" y="175990"/>
              </a:cubicBezTo>
              <a:cubicBezTo>
                <a:pt x="574998" y="171475"/>
                <a:pt x="577602" y="166241"/>
                <a:pt x="577602" y="160288"/>
              </a:cubicBezTo>
              <a:cubicBezTo>
                <a:pt x="577602" y="154633"/>
                <a:pt x="575122" y="149573"/>
                <a:pt x="570161" y="145108"/>
              </a:cubicBezTo>
              <a:cubicBezTo>
                <a:pt x="565200" y="140643"/>
                <a:pt x="553690" y="136426"/>
                <a:pt x="535633" y="132457"/>
              </a:cubicBezTo>
              <a:cubicBezTo>
                <a:pt x="506065" y="125810"/>
                <a:pt x="484981" y="116979"/>
                <a:pt x="472381" y="105966"/>
              </a:cubicBezTo>
              <a:cubicBezTo>
                <a:pt x="459681" y="94953"/>
                <a:pt x="453331" y="80913"/>
                <a:pt x="453331" y="63848"/>
              </a:cubicBezTo>
              <a:cubicBezTo>
                <a:pt x="453331" y="52636"/>
                <a:pt x="456580" y="42044"/>
                <a:pt x="463079" y="32073"/>
              </a:cubicBezTo>
              <a:cubicBezTo>
                <a:pt x="469578" y="22101"/>
                <a:pt x="479351" y="14263"/>
                <a:pt x="492398" y="8558"/>
              </a:cubicBezTo>
              <a:cubicBezTo>
                <a:pt x="505445" y="2853"/>
                <a:pt x="523329" y="0"/>
                <a:pt x="546051" y="0"/>
              </a:cubicBezTo>
              <a:close/>
              <a:moveTo>
                <a:pt x="332482" y="0"/>
              </a:moveTo>
              <a:cubicBezTo>
                <a:pt x="368796" y="0"/>
                <a:pt x="396776" y="9749"/>
                <a:pt x="416421" y="29245"/>
              </a:cubicBezTo>
              <a:cubicBezTo>
                <a:pt x="436067" y="48742"/>
                <a:pt x="445889" y="76052"/>
                <a:pt x="445889" y="111175"/>
              </a:cubicBezTo>
              <a:cubicBezTo>
                <a:pt x="445889" y="136674"/>
                <a:pt x="441598" y="157585"/>
                <a:pt x="433016" y="173906"/>
              </a:cubicBezTo>
              <a:cubicBezTo>
                <a:pt x="424433" y="190228"/>
                <a:pt x="412031" y="202928"/>
                <a:pt x="395808" y="212006"/>
              </a:cubicBezTo>
              <a:cubicBezTo>
                <a:pt x="379586" y="221085"/>
                <a:pt x="359370" y="225624"/>
                <a:pt x="335161" y="225624"/>
              </a:cubicBezTo>
              <a:cubicBezTo>
                <a:pt x="310555" y="225624"/>
                <a:pt x="290190" y="221705"/>
                <a:pt x="274067" y="213866"/>
              </a:cubicBezTo>
              <a:cubicBezTo>
                <a:pt x="257944" y="206028"/>
                <a:pt x="244872" y="193626"/>
                <a:pt x="234851" y="176659"/>
              </a:cubicBezTo>
              <a:cubicBezTo>
                <a:pt x="224830" y="159693"/>
                <a:pt x="219819" y="138460"/>
                <a:pt x="219819" y="112961"/>
              </a:cubicBezTo>
              <a:cubicBezTo>
                <a:pt x="219819" y="77341"/>
                <a:pt x="229741" y="49610"/>
                <a:pt x="249585" y="29766"/>
              </a:cubicBezTo>
              <a:cubicBezTo>
                <a:pt x="269429" y="9922"/>
                <a:pt x="297061" y="0"/>
                <a:pt x="332482" y="0"/>
              </a:cubicBezTo>
              <a:close/>
            </a:path>
          </a:pathLst>
        </a:custGeom>
        <a:noFill/>
        <a:ln w="6350">
          <a:solidFill>
            <a:srgbClr val="AC7C9F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367665</xdr:colOff>
      <xdr:row>7</xdr:row>
      <xdr:rowOff>3485</xdr:rowOff>
    </xdr:from>
    <xdr:to>
      <xdr:col>1</xdr:col>
      <xdr:colOff>535097</xdr:colOff>
      <xdr:row>8</xdr:row>
      <xdr:rowOff>61469</xdr:rowOff>
    </xdr:to>
    <xdr:pic>
      <xdr:nvPicPr>
        <xdr:cNvPr id="5" name="om" descr="Amazon.com: Camouflage Upholstery Fabric, Camouflage Fabric by The Yard,  Abstract Colors Pattern Indoor Outdoor Fabric, Camo Decorative Fabric for  Clothing Quilting Sewing, DIY, Navy Blue Grey 3 Yards">
          <a:extLst>
            <a:ext uri="{FF2B5EF4-FFF2-40B4-BE49-F238E27FC236}">
              <a16:creationId xmlns:a16="http://schemas.microsoft.com/office/drawing/2014/main" id="{8B64B151-0EE2-FDE6-3592-B75108430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396" t="24089" r="3642" b="50950"/>
        <a:stretch>
          <a:fillRect/>
        </a:stretch>
      </xdr:blipFill>
      <xdr:spPr bwMode="auto">
        <a:xfrm>
          <a:off x="367665" y="1176965"/>
          <a:ext cx="777032" cy="225624"/>
        </a:xfrm>
        <a:custGeom>
          <a:avLst/>
          <a:gdLst/>
          <a:ahLst/>
          <a:cxnLst/>
          <a:rect l="l" t="t" r="r" b="b"/>
          <a:pathLst>
            <a:path w="777032" h="225624">
              <a:moveTo>
                <a:pt x="346621" y="130523"/>
              </a:moveTo>
              <a:cubicBezTo>
                <a:pt x="338287" y="136377"/>
                <a:pt x="332755" y="141387"/>
                <a:pt x="330027" y="145554"/>
              </a:cubicBezTo>
              <a:cubicBezTo>
                <a:pt x="327298" y="149721"/>
                <a:pt x="325934" y="154137"/>
                <a:pt x="325934" y="158800"/>
              </a:cubicBezTo>
              <a:cubicBezTo>
                <a:pt x="325934" y="166043"/>
                <a:pt x="329059" y="172492"/>
                <a:pt x="335310" y="178148"/>
              </a:cubicBezTo>
              <a:cubicBezTo>
                <a:pt x="341561" y="183803"/>
                <a:pt x="349697" y="186631"/>
                <a:pt x="359718" y="186631"/>
              </a:cubicBezTo>
              <a:cubicBezTo>
                <a:pt x="370533" y="186631"/>
                <a:pt x="382687" y="182414"/>
                <a:pt x="396181" y="173980"/>
              </a:cubicBezTo>
              <a:cubicBezTo>
                <a:pt x="383282" y="164059"/>
                <a:pt x="366762" y="149573"/>
                <a:pt x="346621" y="130523"/>
              </a:cubicBezTo>
              <a:close/>
              <a:moveTo>
                <a:pt x="112514" y="51048"/>
              </a:moveTo>
              <a:cubicBezTo>
                <a:pt x="98921" y="51048"/>
                <a:pt x="88007" y="55860"/>
                <a:pt x="79772" y="65485"/>
              </a:cubicBezTo>
              <a:cubicBezTo>
                <a:pt x="71537" y="75109"/>
                <a:pt x="67419" y="91034"/>
                <a:pt x="67419" y="113259"/>
              </a:cubicBezTo>
              <a:cubicBezTo>
                <a:pt x="67419" y="135285"/>
                <a:pt x="71512" y="151110"/>
                <a:pt x="79698" y="160735"/>
              </a:cubicBezTo>
              <a:cubicBezTo>
                <a:pt x="87883" y="170359"/>
                <a:pt x="99021" y="175171"/>
                <a:pt x="113110" y="175171"/>
              </a:cubicBezTo>
              <a:cubicBezTo>
                <a:pt x="127596" y="175171"/>
                <a:pt x="138807" y="170458"/>
                <a:pt x="146745" y="161032"/>
              </a:cubicBezTo>
              <a:cubicBezTo>
                <a:pt x="154682" y="151607"/>
                <a:pt x="158651" y="134690"/>
                <a:pt x="158651" y="110282"/>
              </a:cubicBezTo>
              <a:cubicBezTo>
                <a:pt x="158651" y="89744"/>
                <a:pt x="154509" y="74737"/>
                <a:pt x="146224" y="65261"/>
              </a:cubicBezTo>
              <a:cubicBezTo>
                <a:pt x="137939" y="55786"/>
                <a:pt x="126703" y="51048"/>
                <a:pt x="112514" y="51048"/>
              </a:cubicBezTo>
              <a:close/>
              <a:moveTo>
                <a:pt x="372666" y="32742"/>
              </a:moveTo>
              <a:cubicBezTo>
                <a:pt x="366514" y="32742"/>
                <a:pt x="361504" y="34528"/>
                <a:pt x="357634" y="38100"/>
              </a:cubicBezTo>
              <a:cubicBezTo>
                <a:pt x="353765" y="41672"/>
                <a:pt x="351830" y="45889"/>
                <a:pt x="351830" y="50751"/>
              </a:cubicBezTo>
              <a:cubicBezTo>
                <a:pt x="351830" y="56902"/>
                <a:pt x="357287" y="65832"/>
                <a:pt x="368201" y="77540"/>
              </a:cubicBezTo>
              <a:cubicBezTo>
                <a:pt x="376039" y="73273"/>
                <a:pt x="382092" y="68635"/>
                <a:pt x="386358" y="63624"/>
              </a:cubicBezTo>
              <a:cubicBezTo>
                <a:pt x="390624" y="58614"/>
                <a:pt x="392758" y="53876"/>
                <a:pt x="392758" y="49411"/>
              </a:cubicBezTo>
              <a:cubicBezTo>
                <a:pt x="392758" y="44748"/>
                <a:pt x="390972" y="40804"/>
                <a:pt x="387400" y="37579"/>
              </a:cubicBezTo>
              <a:cubicBezTo>
                <a:pt x="383828" y="34355"/>
                <a:pt x="378917" y="32742"/>
                <a:pt x="372666" y="32742"/>
              </a:cubicBezTo>
              <a:close/>
              <a:moveTo>
                <a:pt x="531614" y="3721"/>
              </a:moveTo>
              <a:lnTo>
                <a:pt x="620279" y="3721"/>
              </a:lnTo>
              <a:lnTo>
                <a:pt x="654472" y="136476"/>
              </a:lnTo>
              <a:lnTo>
                <a:pt x="688421" y="3721"/>
              </a:lnTo>
              <a:lnTo>
                <a:pt x="777032" y="3721"/>
              </a:lnTo>
              <a:lnTo>
                <a:pt x="777032" y="221903"/>
              </a:lnTo>
              <a:lnTo>
                <a:pt x="721817" y="221903"/>
              </a:lnTo>
              <a:lnTo>
                <a:pt x="721817" y="55513"/>
              </a:lnTo>
              <a:lnTo>
                <a:pt x="679273" y="221903"/>
              </a:lnTo>
              <a:lnTo>
                <a:pt x="629294" y="221903"/>
              </a:lnTo>
              <a:lnTo>
                <a:pt x="586830" y="55513"/>
              </a:lnTo>
              <a:lnTo>
                <a:pt x="586830" y="221903"/>
              </a:lnTo>
              <a:lnTo>
                <a:pt x="531614" y="221903"/>
              </a:lnTo>
              <a:close/>
              <a:moveTo>
                <a:pt x="370136" y="0"/>
              </a:moveTo>
              <a:cubicBezTo>
                <a:pt x="394643" y="0"/>
                <a:pt x="412651" y="4763"/>
                <a:pt x="424160" y="14288"/>
              </a:cubicBezTo>
              <a:cubicBezTo>
                <a:pt x="435670" y="23813"/>
                <a:pt x="441424" y="35223"/>
                <a:pt x="441424" y="48518"/>
              </a:cubicBezTo>
              <a:cubicBezTo>
                <a:pt x="441424" y="55960"/>
                <a:pt x="439663" y="63103"/>
                <a:pt x="436141" y="69950"/>
              </a:cubicBezTo>
              <a:cubicBezTo>
                <a:pt x="432619" y="76796"/>
                <a:pt x="428377" y="82352"/>
                <a:pt x="423416" y="86618"/>
              </a:cubicBezTo>
              <a:cubicBezTo>
                <a:pt x="418455" y="90885"/>
                <a:pt x="409575" y="97235"/>
                <a:pt x="396776" y="105668"/>
              </a:cubicBezTo>
              <a:cubicBezTo>
                <a:pt x="407392" y="116285"/>
                <a:pt x="418455" y="126157"/>
                <a:pt x="429965" y="135285"/>
              </a:cubicBezTo>
              <a:cubicBezTo>
                <a:pt x="433040" y="129134"/>
                <a:pt x="435670" y="122635"/>
                <a:pt x="437853" y="115789"/>
              </a:cubicBezTo>
              <a:lnTo>
                <a:pt x="485180" y="126355"/>
              </a:lnTo>
              <a:cubicBezTo>
                <a:pt x="482699" y="135087"/>
                <a:pt x="480318" y="142082"/>
                <a:pt x="478036" y="147340"/>
              </a:cubicBezTo>
              <a:cubicBezTo>
                <a:pt x="475754" y="152599"/>
                <a:pt x="472530" y="158800"/>
                <a:pt x="468362" y="165944"/>
              </a:cubicBezTo>
              <a:lnTo>
                <a:pt x="491133" y="181571"/>
              </a:lnTo>
              <a:cubicBezTo>
                <a:pt x="493911" y="183357"/>
                <a:pt x="497483" y="185490"/>
                <a:pt x="501849" y="187970"/>
              </a:cubicBezTo>
              <a:lnTo>
                <a:pt x="469255" y="225475"/>
              </a:lnTo>
              <a:cubicBezTo>
                <a:pt x="463302" y="222300"/>
                <a:pt x="457126" y="218629"/>
                <a:pt x="450726" y="214462"/>
              </a:cubicBezTo>
              <a:cubicBezTo>
                <a:pt x="444327" y="210294"/>
                <a:pt x="438597" y="206723"/>
                <a:pt x="433537" y="203746"/>
              </a:cubicBezTo>
              <a:cubicBezTo>
                <a:pt x="423019" y="210691"/>
                <a:pt x="412502" y="215752"/>
                <a:pt x="401985" y="218927"/>
              </a:cubicBezTo>
              <a:cubicBezTo>
                <a:pt x="387400" y="223292"/>
                <a:pt x="370830" y="225475"/>
                <a:pt x="352276" y="225475"/>
              </a:cubicBezTo>
              <a:cubicBezTo>
                <a:pt x="323205" y="225475"/>
                <a:pt x="301576" y="219423"/>
                <a:pt x="287387" y="207318"/>
              </a:cubicBezTo>
              <a:cubicBezTo>
                <a:pt x="273199" y="195213"/>
                <a:pt x="266105" y="180529"/>
                <a:pt x="266105" y="163265"/>
              </a:cubicBezTo>
              <a:cubicBezTo>
                <a:pt x="266105" y="150862"/>
                <a:pt x="270272" y="139130"/>
                <a:pt x="278607" y="128067"/>
              </a:cubicBezTo>
              <a:cubicBezTo>
                <a:pt x="286941" y="117004"/>
                <a:pt x="300583" y="107653"/>
                <a:pt x="319534" y="100013"/>
              </a:cubicBezTo>
              <a:cubicBezTo>
                <a:pt x="311597" y="90389"/>
                <a:pt x="306140" y="82029"/>
                <a:pt x="303163" y="74935"/>
              </a:cubicBezTo>
              <a:cubicBezTo>
                <a:pt x="300187" y="67841"/>
                <a:pt x="298698" y="60623"/>
                <a:pt x="298698" y="53281"/>
              </a:cubicBezTo>
              <a:cubicBezTo>
                <a:pt x="298698" y="37803"/>
                <a:pt x="304602" y="25053"/>
                <a:pt x="316409" y="15032"/>
              </a:cubicBezTo>
              <a:cubicBezTo>
                <a:pt x="328216" y="5011"/>
                <a:pt x="346125" y="0"/>
                <a:pt x="370136" y="0"/>
              </a:cubicBezTo>
              <a:close/>
              <a:moveTo>
                <a:pt x="112663" y="0"/>
              </a:moveTo>
              <a:cubicBezTo>
                <a:pt x="148977" y="0"/>
                <a:pt x="176957" y="9749"/>
                <a:pt x="196602" y="29245"/>
              </a:cubicBezTo>
              <a:cubicBezTo>
                <a:pt x="216248" y="48742"/>
                <a:pt x="226070" y="76052"/>
                <a:pt x="226070" y="111175"/>
              </a:cubicBezTo>
              <a:cubicBezTo>
                <a:pt x="226070" y="136674"/>
                <a:pt x="221779" y="157585"/>
                <a:pt x="213197" y="173906"/>
              </a:cubicBezTo>
              <a:cubicBezTo>
                <a:pt x="204614" y="190227"/>
                <a:pt x="192212" y="202927"/>
                <a:pt x="175990" y="212006"/>
              </a:cubicBezTo>
              <a:cubicBezTo>
                <a:pt x="159767" y="221085"/>
                <a:pt x="139551" y="225624"/>
                <a:pt x="115342" y="225624"/>
              </a:cubicBezTo>
              <a:cubicBezTo>
                <a:pt x="90736" y="225624"/>
                <a:pt x="70371" y="221705"/>
                <a:pt x="54248" y="213866"/>
              </a:cubicBezTo>
              <a:cubicBezTo>
                <a:pt x="38125" y="206028"/>
                <a:pt x="25053" y="193626"/>
                <a:pt x="15032" y="176659"/>
              </a:cubicBezTo>
              <a:cubicBezTo>
                <a:pt x="5011" y="159693"/>
                <a:pt x="0" y="138460"/>
                <a:pt x="0" y="112961"/>
              </a:cubicBezTo>
              <a:cubicBezTo>
                <a:pt x="0" y="77341"/>
                <a:pt x="9922" y="49610"/>
                <a:pt x="29766" y="29766"/>
              </a:cubicBezTo>
              <a:cubicBezTo>
                <a:pt x="49610" y="9922"/>
                <a:pt x="77242" y="0"/>
                <a:pt x="112663" y="0"/>
              </a:cubicBezTo>
              <a:close/>
            </a:path>
          </a:pathLst>
        </a:custGeom>
        <a:ln w="6350">
          <a:solidFill>
            <a:srgbClr val="050E8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476885</xdr:colOff>
      <xdr:row>2</xdr:row>
      <xdr:rowOff>53340</xdr:rowOff>
    </xdr:from>
    <xdr:to>
      <xdr:col>14</xdr:col>
      <xdr:colOff>553085</xdr:colOff>
      <xdr:row>4</xdr:row>
      <xdr:rowOff>114300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2C4ACA-C2A6-CAC3-1F82-D74001A4BA5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11</xdr:col>
      <xdr:colOff>476885</xdr:colOff>
      <xdr:row>5</xdr:row>
      <xdr:rowOff>79375</xdr:rowOff>
    </xdr:from>
    <xdr:to>
      <xdr:col>14</xdr:col>
      <xdr:colOff>553085</xdr:colOff>
      <xdr:row>7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D4A5166-8C7C-97DB-2C38-F4E30B9FA00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15</xdr:col>
      <xdr:colOff>574675</xdr:colOff>
      <xdr:row>5</xdr:row>
      <xdr:rowOff>79375</xdr:rowOff>
    </xdr:from>
    <xdr:to>
      <xdr:col>19</xdr:col>
      <xdr:colOff>41275</xdr:colOff>
      <xdr:row>7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288E53F-6362-E91D-3D34-6E77C286AFA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11</xdr:col>
      <xdr:colOff>476885</xdr:colOff>
      <xdr:row>8</xdr:row>
      <xdr:rowOff>97790</xdr:rowOff>
    </xdr:from>
    <xdr:to>
      <xdr:col>14</xdr:col>
      <xdr:colOff>553085</xdr:colOff>
      <xdr:row>10</xdr:row>
      <xdr:rowOff>160655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EBE86CD-6B96-C7D2-D27F-A283763F6CA0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274320</xdr:colOff>
      <xdr:row>1</xdr:row>
      <xdr:rowOff>112395</xdr:rowOff>
    </xdr:to>
    <xdr:pic>
      <xdr:nvPicPr>
        <xdr:cNvPr id="4" name="FolderIcon" descr="Folder Search with solid fill">
          <a:extLst>
            <a:ext uri="{FF2B5EF4-FFF2-40B4-BE49-F238E27FC236}">
              <a16:creationId xmlns:a16="http://schemas.microsoft.com/office/drawing/2014/main" id="{A70F9675-987C-6BF2-7770-9B97521F7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0" y="0"/>
          <a:ext cx="274320" cy="2743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217805</xdr:colOff>
      <xdr:row>2</xdr:row>
      <xdr:rowOff>36195</xdr:rowOff>
    </xdr:from>
    <xdr:to>
      <xdr:col>13</xdr:col>
      <xdr:colOff>294005</xdr:colOff>
      <xdr:row>4</xdr:row>
      <xdr:rowOff>45720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1E6A8B4-2F15-D181-6376-AD9320DC40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217805</xdr:colOff>
      <xdr:row>5</xdr:row>
      <xdr:rowOff>3175</xdr:rowOff>
    </xdr:from>
    <xdr:to>
      <xdr:col>13</xdr:col>
      <xdr:colOff>294005</xdr:colOff>
      <xdr:row>7</xdr:row>
      <xdr:rowOff>22225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D74C9AE-9B52-64D9-9F16-99B3148E02B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 flip="none" rotWithShape="1">
          <a:gsLst>
            <a:gs pos="79000">
              <a:srgbClr val="00B050"/>
            </a:gs>
            <a:gs pos="100000">
              <a:srgbClr val="00DA63"/>
            </a:gs>
          </a:gsLst>
          <a:lin ang="16500000" scaled="0"/>
          <a:tileRect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325120</xdr:colOff>
      <xdr:row>5</xdr:row>
      <xdr:rowOff>3175</xdr:rowOff>
    </xdr:from>
    <xdr:to>
      <xdr:col>17</xdr:col>
      <xdr:colOff>401320</xdr:colOff>
      <xdr:row>7</xdr:row>
      <xdr:rowOff>22225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3AEBD6-2C86-41A8-EA9F-DCBA02BECCB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217805</xdr:colOff>
      <xdr:row>7</xdr:row>
      <xdr:rowOff>149225</xdr:rowOff>
    </xdr:from>
    <xdr:to>
      <xdr:col>13</xdr:col>
      <xdr:colOff>294005</xdr:colOff>
      <xdr:row>9</xdr:row>
      <xdr:rowOff>168275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A66B54B-6012-9332-F80C-86556F39F19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4FBEA8-94C1-1630-0A04-C7ECF1B09D4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9FFE8AE-BA48-9E0C-E0CF-C2988265A55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gradFill>
          <a:gsLst>
            <a:gs pos="77000">
              <a:srgbClr val="00B050"/>
            </a:gs>
            <a:gs pos="100000">
              <a:srgbClr val="00E266"/>
            </a:gs>
          </a:gsLst>
          <a:lin ang="16500000" scaled="0"/>
        </a:gra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1DBBE0-0C8F-E73D-CDC2-C1D853A5691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4FDFBDA-BED3-41D8-0714-0B95944955C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335915</xdr:colOff>
      <xdr:row>2</xdr:row>
      <xdr:rowOff>45720</xdr:rowOff>
    </xdr:from>
    <xdr:to>
      <xdr:col>12</xdr:col>
      <xdr:colOff>412115</xdr:colOff>
      <xdr:row>4</xdr:row>
      <xdr:rowOff>45720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AFEBA-DB22-A2D4-9B86-D36B2BC83AC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335915</xdr:colOff>
      <xdr:row>4</xdr:row>
      <xdr:rowOff>174625</xdr:rowOff>
    </xdr:from>
    <xdr:to>
      <xdr:col>12</xdr:col>
      <xdr:colOff>412115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F66CE95-DF7B-F0C4-4069-EB7BA4A1E91E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445135</xdr:colOff>
      <xdr:row>4</xdr:row>
      <xdr:rowOff>174625</xdr:rowOff>
    </xdr:from>
    <xdr:to>
      <xdr:col>16</xdr:col>
      <xdr:colOff>521335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6FBBB3-9F7A-65E6-5F20-5F5767FA8ED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335915</xdr:colOff>
      <xdr:row>7</xdr:row>
      <xdr:rowOff>114935</xdr:rowOff>
    </xdr:from>
    <xdr:to>
      <xdr:col>12</xdr:col>
      <xdr:colOff>412115</xdr:colOff>
      <xdr:row>9</xdr:row>
      <xdr:rowOff>114935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BBA880C-4DC5-E8B0-F5A6-26618339888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332105</xdr:colOff>
      <xdr:row>2</xdr:row>
      <xdr:rowOff>43815</xdr:rowOff>
    </xdr:from>
    <xdr:to>
      <xdr:col>12</xdr:col>
      <xdr:colOff>408305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ACA54C-0A7E-C19C-8B8A-965324DD6D8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332105</xdr:colOff>
      <xdr:row>4</xdr:row>
      <xdr:rowOff>174625</xdr:rowOff>
    </xdr:from>
    <xdr:to>
      <xdr:col>12</xdr:col>
      <xdr:colOff>408305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1758F4A-5A9F-25ED-AC5E-E0FE5A56FFE0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448945</xdr:colOff>
      <xdr:row>4</xdr:row>
      <xdr:rowOff>174625</xdr:rowOff>
    </xdr:from>
    <xdr:to>
      <xdr:col>16</xdr:col>
      <xdr:colOff>525145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FEC4274-91DA-559D-63D0-19C8EB58754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332105</xdr:colOff>
      <xdr:row>7</xdr:row>
      <xdr:rowOff>111125</xdr:rowOff>
    </xdr:from>
    <xdr:to>
      <xdr:col>12</xdr:col>
      <xdr:colOff>408305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6EA995C-0CBD-3814-FB4A-6183A608CBD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156845</xdr:colOff>
      <xdr:row>1</xdr:row>
      <xdr:rowOff>220980</xdr:rowOff>
    </xdr:from>
    <xdr:to>
      <xdr:col>13</xdr:col>
      <xdr:colOff>233045</xdr:colOff>
      <xdr:row>3</xdr:row>
      <xdr:rowOff>68580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3496674-B55C-19E3-8C5A-0FE368FD9AD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156845</xdr:colOff>
      <xdr:row>4</xdr:row>
      <xdr:rowOff>3175</xdr:rowOff>
    </xdr:from>
    <xdr:to>
      <xdr:col>13</xdr:col>
      <xdr:colOff>233045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868F9EB-A41C-FEAF-F41E-FF3EF373A81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262255</xdr:colOff>
      <xdr:row>4</xdr:row>
      <xdr:rowOff>3175</xdr:rowOff>
    </xdr:from>
    <xdr:to>
      <xdr:col>17</xdr:col>
      <xdr:colOff>338455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20CFFD3-B7C8-17DC-CC95-DD39491C6AEF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156845</xdr:colOff>
      <xdr:row>6</xdr:row>
      <xdr:rowOff>133985</xdr:rowOff>
    </xdr:from>
    <xdr:to>
      <xdr:col>13</xdr:col>
      <xdr:colOff>233045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DDBC6E5-AED9-1E73-850D-66E85A8D736E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255905</xdr:colOff>
      <xdr:row>2</xdr:row>
      <xdr:rowOff>43815</xdr:rowOff>
    </xdr:from>
    <xdr:to>
      <xdr:col>13</xdr:col>
      <xdr:colOff>332105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2F8E51D-6CE3-BED8-917A-D17144E880EA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255905</xdr:colOff>
      <xdr:row>4</xdr:row>
      <xdr:rowOff>174625</xdr:rowOff>
    </xdr:from>
    <xdr:to>
      <xdr:col>13</xdr:col>
      <xdr:colOff>332105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DAAC563-9388-9F0E-CF59-12F8B8B0F335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372745</xdr:colOff>
      <xdr:row>4</xdr:row>
      <xdr:rowOff>174625</xdr:rowOff>
    </xdr:from>
    <xdr:to>
      <xdr:col>17</xdr:col>
      <xdr:colOff>448945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894A59-C757-4DDA-9130-C8C209387626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255905</xdr:colOff>
      <xdr:row>7</xdr:row>
      <xdr:rowOff>111125</xdr:rowOff>
    </xdr:from>
    <xdr:to>
      <xdr:col>13</xdr:col>
      <xdr:colOff>332105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0ECAE98-1F0D-55C1-8F64-BAEED941890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227330</xdr:colOff>
      <xdr:row>2</xdr:row>
      <xdr:rowOff>43815</xdr:rowOff>
    </xdr:from>
    <xdr:to>
      <xdr:col>12</xdr:col>
      <xdr:colOff>303530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4EFCB1-5A95-400F-9C4D-7ACDC63C163D}"/>
            </a:ext>
          </a:extLst>
        </xdr:cNvPr>
        <xdr:cNvSpPr/>
      </xdr:nvSpPr>
      <xdr:spPr>
        <a:xfrm>
          <a:off x="10152380" y="37719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227330</xdr:colOff>
      <xdr:row>4</xdr:row>
      <xdr:rowOff>174625</xdr:rowOff>
    </xdr:from>
    <xdr:to>
      <xdr:col>12</xdr:col>
      <xdr:colOff>303530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0175F1-199F-4EFD-97BE-BD2A84F62265}"/>
            </a:ext>
          </a:extLst>
        </xdr:cNvPr>
        <xdr:cNvSpPr/>
      </xdr:nvSpPr>
      <xdr:spPr>
        <a:xfrm>
          <a:off x="1015238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344170</xdr:colOff>
      <xdr:row>4</xdr:row>
      <xdr:rowOff>174625</xdr:rowOff>
    </xdr:from>
    <xdr:to>
      <xdr:col>16</xdr:col>
      <xdr:colOff>420370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ED4C3F7-FCF8-4824-B6F5-824C5801DA14}"/>
            </a:ext>
          </a:extLst>
        </xdr:cNvPr>
        <xdr:cNvSpPr/>
      </xdr:nvSpPr>
      <xdr:spPr>
        <a:xfrm>
          <a:off x="1270762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227330</xdr:colOff>
      <xdr:row>7</xdr:row>
      <xdr:rowOff>111125</xdr:rowOff>
    </xdr:from>
    <xdr:to>
      <xdr:col>12</xdr:col>
      <xdr:colOff>303530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4AFB39-4EB0-40B5-A6FA-38A95DD83488}"/>
            </a:ext>
          </a:extLst>
        </xdr:cNvPr>
        <xdr:cNvSpPr/>
      </xdr:nvSpPr>
      <xdr:spPr>
        <a:xfrm>
          <a:off x="1015238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255905</xdr:colOff>
      <xdr:row>2</xdr:row>
      <xdr:rowOff>43815</xdr:rowOff>
    </xdr:from>
    <xdr:to>
      <xdr:col>13</xdr:col>
      <xdr:colOff>332105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7302540-BE8E-79DA-AF07-9EB837CD541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255905</xdr:colOff>
      <xdr:row>4</xdr:row>
      <xdr:rowOff>174625</xdr:rowOff>
    </xdr:from>
    <xdr:to>
      <xdr:col>13</xdr:col>
      <xdr:colOff>332105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1AA3569-0273-34EF-8B9E-7C3292F12E1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372745</xdr:colOff>
      <xdr:row>4</xdr:row>
      <xdr:rowOff>174625</xdr:rowOff>
    </xdr:from>
    <xdr:to>
      <xdr:col>17</xdr:col>
      <xdr:colOff>448945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E59F90-1EF6-4438-523A-9D5954CBEE19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255905</xdr:colOff>
      <xdr:row>7</xdr:row>
      <xdr:rowOff>111125</xdr:rowOff>
    </xdr:from>
    <xdr:to>
      <xdr:col>13</xdr:col>
      <xdr:colOff>332105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9B00881-93EF-3452-3C22-4BBEB85189B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217170</xdr:rowOff>
    </xdr:from>
    <xdr:to>
      <xdr:col>13</xdr:col>
      <xdr:colOff>227330</xdr:colOff>
      <xdr:row>3</xdr:row>
      <xdr:rowOff>64770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274709-4B83-18C0-65C0-78DEF237DB5B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77589-09E6-CA31-BC20-212A0A5194E2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091E781-1CA4-64C6-1C3F-50BEB0BA0811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133985</xdr:rowOff>
    </xdr:from>
    <xdr:to>
      <xdr:col>13</xdr:col>
      <xdr:colOff>227330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894BA7E-527E-3744-BB7B-F81EA3C5A56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113030</xdr:colOff>
      <xdr:row>1</xdr:row>
      <xdr:rowOff>207645</xdr:rowOff>
    </xdr:from>
    <xdr:to>
      <xdr:col>13</xdr:col>
      <xdr:colOff>189230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296C0A-829B-99F7-D207-3FF38FEB35D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113030</xdr:colOff>
      <xdr:row>4</xdr:row>
      <xdr:rowOff>3175</xdr:rowOff>
    </xdr:from>
    <xdr:to>
      <xdr:col>13</xdr:col>
      <xdr:colOff>189230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55AA20-3831-7E60-F7EA-9A9149C3954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229870</xdr:colOff>
      <xdr:row>4</xdr:row>
      <xdr:rowOff>3175</xdr:rowOff>
    </xdr:from>
    <xdr:to>
      <xdr:col>17</xdr:col>
      <xdr:colOff>306070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8F860C5-4153-A97F-29BE-498786BD4F8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113030</xdr:colOff>
      <xdr:row>6</xdr:row>
      <xdr:rowOff>130175</xdr:rowOff>
    </xdr:from>
    <xdr:to>
      <xdr:col>13</xdr:col>
      <xdr:colOff>189230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333DAB6-D2C1-BC34-6FBB-308202EC2E08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349349A-BD00-163F-C912-93D20622109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C80D4F6-6E80-6965-8113-7F6A86B3424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97F6452-EA88-4AEE-6128-BBC93ACD023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C358463-AFB8-E56A-B864-9B06F6B2A815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61378D-8265-36A7-6E03-BEC3FB0B916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F3EA26C-F37E-3698-A816-6C92F7A6D91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94B1E4E-F435-7C5C-964D-42B3CCF4B25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F1D10AA-ADB9-203B-57BE-1256072FA34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9D89780-7E14-BD1A-441B-D6ED20B92FB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643A1B4-684A-11A6-54FE-70BA3AE2EE7A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A96F27B-3E45-88D9-1399-9FCB4CC7E36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787CD51-8BC4-B899-1FD4-B2CE90A59C07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215265</xdr:rowOff>
    </xdr:from>
    <xdr:to>
      <xdr:col>13</xdr:col>
      <xdr:colOff>227330</xdr:colOff>
      <xdr:row>3</xdr:row>
      <xdr:rowOff>62865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EA74AD6-61EB-AB9B-8445-E4E54E2D780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D5EED51-6C85-F689-1240-6F2E58296DD4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D6ABB56-C331-394C-7F88-3373E68D34B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04AC4E8-D2F8-7A0E-4A1B-C682569C22C9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334010</xdr:colOff>
      <xdr:row>2</xdr:row>
      <xdr:rowOff>41910</xdr:rowOff>
    </xdr:from>
    <xdr:to>
      <xdr:col>12</xdr:col>
      <xdr:colOff>410210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99341E-EECC-5F50-B3E9-6A522D6F712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334010</xdr:colOff>
      <xdr:row>4</xdr:row>
      <xdr:rowOff>178435</xdr:rowOff>
    </xdr:from>
    <xdr:to>
      <xdr:col>12</xdr:col>
      <xdr:colOff>410210</xdr:colOff>
      <xdr:row>6</xdr:row>
      <xdr:rowOff>178435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848B0E3-48D3-93E2-8768-EA7FA63505A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450850</xdr:colOff>
      <xdr:row>4</xdr:row>
      <xdr:rowOff>178435</xdr:rowOff>
    </xdr:from>
    <xdr:to>
      <xdr:col>16</xdr:col>
      <xdr:colOff>527050</xdr:colOff>
      <xdr:row>6</xdr:row>
      <xdr:rowOff>178435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7DFB307-E084-001A-D2B2-470DD3B9038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334010</xdr:colOff>
      <xdr:row>7</xdr:row>
      <xdr:rowOff>111125</xdr:rowOff>
    </xdr:from>
    <xdr:to>
      <xdr:col>12</xdr:col>
      <xdr:colOff>410210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DD447F0-452B-9F45-113B-49BED9EBBDC2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255905</xdr:colOff>
      <xdr:row>2</xdr:row>
      <xdr:rowOff>43815</xdr:rowOff>
    </xdr:from>
    <xdr:to>
      <xdr:col>13</xdr:col>
      <xdr:colOff>332105</xdr:colOff>
      <xdr:row>4</xdr:row>
      <xdr:rowOff>43815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272F78-A008-DCA6-7467-D47E26941EF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255905</xdr:colOff>
      <xdr:row>4</xdr:row>
      <xdr:rowOff>174625</xdr:rowOff>
    </xdr:from>
    <xdr:to>
      <xdr:col>13</xdr:col>
      <xdr:colOff>332105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ADB545C-BC65-D92C-ABB3-9D0166CFD471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372745</xdr:colOff>
      <xdr:row>4</xdr:row>
      <xdr:rowOff>174625</xdr:rowOff>
    </xdr:from>
    <xdr:to>
      <xdr:col>17</xdr:col>
      <xdr:colOff>448945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F51BE0B-EE86-D9CC-7B54-E28DF1967A2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255905</xdr:colOff>
      <xdr:row>7</xdr:row>
      <xdr:rowOff>111125</xdr:rowOff>
    </xdr:from>
    <xdr:to>
      <xdr:col>13</xdr:col>
      <xdr:colOff>332105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5F9076D-35BC-3175-8579-94DF550EF05D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74930</xdr:colOff>
      <xdr:row>1</xdr:row>
      <xdr:rowOff>224790</xdr:rowOff>
    </xdr:from>
    <xdr:to>
      <xdr:col>13</xdr:col>
      <xdr:colOff>151130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87851E1-EB0F-1C3F-07B5-25372D470B69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74930</xdr:colOff>
      <xdr:row>3</xdr:row>
      <xdr:rowOff>193675</xdr:rowOff>
    </xdr:from>
    <xdr:to>
      <xdr:col>13</xdr:col>
      <xdr:colOff>151130</xdr:colOff>
      <xdr:row>5</xdr:row>
      <xdr:rowOff>193675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70DEB7-F774-D581-E997-8C479F49E49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191770</xdr:colOff>
      <xdr:row>3</xdr:row>
      <xdr:rowOff>193675</xdr:rowOff>
    </xdr:from>
    <xdr:to>
      <xdr:col>17</xdr:col>
      <xdr:colOff>267970</xdr:colOff>
      <xdr:row>5</xdr:row>
      <xdr:rowOff>193675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C111E3B-5D52-F243-899E-28BF6C09F077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74930</xdr:colOff>
      <xdr:row>6</xdr:row>
      <xdr:rowOff>135890</xdr:rowOff>
    </xdr:from>
    <xdr:to>
      <xdr:col>13</xdr:col>
      <xdr:colOff>151130</xdr:colOff>
      <xdr:row>8</xdr:row>
      <xdr:rowOff>135890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C40639D-D154-191B-74C9-38B9518B49F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05F49F-D2F6-8676-2878-4DDB3095DDF0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E955259-E6DF-DC71-1A24-862110AAC40B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70B4AE-82DE-16BD-1A45-D71206B94B0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A32C2D5-1ABD-A856-522F-4089E30FE6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E66CA1-BC6D-C3BD-FFD9-8B76E52261D5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05455AA-1C5B-90B6-71DA-CDE0E228B17F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9F4E408-4CE6-4014-2595-07C1AF836ED2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50DD751-335E-E836-EDE7-E975390FA6F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474980</xdr:colOff>
      <xdr:row>1</xdr:row>
      <xdr:rowOff>209550</xdr:rowOff>
    </xdr:from>
    <xdr:to>
      <xdr:col>12</xdr:col>
      <xdr:colOff>551180</xdr:colOff>
      <xdr:row>3</xdr:row>
      <xdr:rowOff>40005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8484ABE-A952-45E8-2991-940D76A75383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474980</xdr:colOff>
      <xdr:row>3</xdr:row>
      <xdr:rowOff>155575</xdr:rowOff>
    </xdr:from>
    <xdr:to>
      <xdr:col>12</xdr:col>
      <xdr:colOff>551180</xdr:colOff>
      <xdr:row>5</xdr:row>
      <xdr:rowOff>132715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F90793-1F4F-0523-B082-F23F449B68E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591820</xdr:colOff>
      <xdr:row>3</xdr:row>
      <xdr:rowOff>155575</xdr:rowOff>
    </xdr:from>
    <xdr:to>
      <xdr:col>17</xdr:col>
      <xdr:colOff>58420</xdr:colOff>
      <xdr:row>5</xdr:row>
      <xdr:rowOff>132715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0B2B080-09CF-25F5-318A-E14E88BD4AF8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474980</xdr:colOff>
      <xdr:row>6</xdr:row>
      <xdr:rowOff>73025</xdr:rowOff>
    </xdr:from>
    <xdr:to>
      <xdr:col>12</xdr:col>
      <xdr:colOff>551180</xdr:colOff>
      <xdr:row>8</xdr:row>
      <xdr:rowOff>40640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53CB758-2F57-EA41-3840-33A78D01FBF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41910</xdr:rowOff>
    </xdr:from>
    <xdr:to>
      <xdr:col>12</xdr:col>
      <xdr:colOff>415925</xdr:colOff>
      <xdr:row>4</xdr:row>
      <xdr:rowOff>41910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ECFFB2-292E-A875-B751-C045E06D2CE6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186055</xdr:rowOff>
    </xdr:from>
    <xdr:to>
      <xdr:col>12</xdr:col>
      <xdr:colOff>415925</xdr:colOff>
      <xdr:row>6</xdr:row>
      <xdr:rowOff>186055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EC8FDD5-88D3-E5B4-D05A-70B9735C609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452755</xdr:colOff>
      <xdr:row>4</xdr:row>
      <xdr:rowOff>186055</xdr:rowOff>
    </xdr:from>
    <xdr:to>
      <xdr:col>16</xdr:col>
      <xdr:colOff>528955</xdr:colOff>
      <xdr:row>6</xdr:row>
      <xdr:rowOff>186055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00A2FAA-80FA-264F-2945-BB9318095580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A582AB3-4FAB-EC13-0EE9-2321189039F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154940</xdr:colOff>
      <xdr:row>1</xdr:row>
      <xdr:rowOff>211455</xdr:rowOff>
    </xdr:from>
    <xdr:to>
      <xdr:col>13</xdr:col>
      <xdr:colOff>231140</xdr:colOff>
      <xdr:row>3</xdr:row>
      <xdr:rowOff>59055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8490916-CEBE-4840-A06F-434DD5D1C012}"/>
            </a:ext>
          </a:extLst>
        </xdr:cNvPr>
        <xdr:cNvSpPr/>
      </xdr:nvSpPr>
      <xdr:spPr>
        <a:xfrm>
          <a:off x="10384790" y="38862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154940</xdr:colOff>
      <xdr:row>4</xdr:row>
      <xdr:rowOff>3175</xdr:rowOff>
    </xdr:from>
    <xdr:to>
      <xdr:col>13</xdr:col>
      <xdr:colOff>231140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102537-F342-4991-9590-50294D948D85}"/>
            </a:ext>
          </a:extLst>
        </xdr:cNvPr>
        <xdr:cNvSpPr/>
      </xdr:nvSpPr>
      <xdr:spPr>
        <a:xfrm>
          <a:off x="1038479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264160</xdr:colOff>
      <xdr:row>4</xdr:row>
      <xdr:rowOff>3175</xdr:rowOff>
    </xdr:from>
    <xdr:to>
      <xdr:col>17</xdr:col>
      <xdr:colOff>340360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3EBF091-479C-423E-8087-CC9DC3E886DF}"/>
            </a:ext>
          </a:extLst>
        </xdr:cNvPr>
        <xdr:cNvSpPr/>
      </xdr:nvSpPr>
      <xdr:spPr>
        <a:xfrm>
          <a:off x="1293241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154940</xdr:colOff>
      <xdr:row>6</xdr:row>
      <xdr:rowOff>133985</xdr:rowOff>
    </xdr:from>
    <xdr:to>
      <xdr:col>13</xdr:col>
      <xdr:colOff>231140</xdr:colOff>
      <xdr:row>8</xdr:row>
      <xdr:rowOff>133985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E12B21A-D606-4ADC-B7BC-94647586A602}"/>
            </a:ext>
          </a:extLst>
        </xdr:cNvPr>
        <xdr:cNvSpPr/>
      </xdr:nvSpPr>
      <xdr:spPr>
        <a:xfrm>
          <a:off x="10384790" y="145796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151130</xdr:colOff>
      <xdr:row>1</xdr:row>
      <xdr:rowOff>207645</xdr:rowOff>
    </xdr:from>
    <xdr:to>
      <xdr:col>13</xdr:col>
      <xdr:colOff>227330</xdr:colOff>
      <xdr:row>3</xdr:row>
      <xdr:rowOff>55245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22F1806-E927-4027-9920-E76DFAB05953}"/>
            </a:ext>
          </a:extLst>
        </xdr:cNvPr>
        <xdr:cNvSpPr/>
      </xdr:nvSpPr>
      <xdr:spPr>
        <a:xfrm>
          <a:off x="10380980" y="386715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151130</xdr:colOff>
      <xdr:row>4</xdr:row>
      <xdr:rowOff>3175</xdr:rowOff>
    </xdr:from>
    <xdr:to>
      <xdr:col>13</xdr:col>
      <xdr:colOff>227330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50B775A-C387-4FC5-9FAA-B3F33BA8D7F6}"/>
            </a:ext>
          </a:extLst>
        </xdr:cNvPr>
        <xdr:cNvSpPr/>
      </xdr:nvSpPr>
      <xdr:spPr>
        <a:xfrm>
          <a:off x="1038098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267970</xdr:colOff>
      <xdr:row>4</xdr:row>
      <xdr:rowOff>3175</xdr:rowOff>
    </xdr:from>
    <xdr:to>
      <xdr:col>17</xdr:col>
      <xdr:colOff>344170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ADE3391-0849-4AAA-9756-0851B2A985C4}"/>
            </a:ext>
          </a:extLst>
        </xdr:cNvPr>
        <xdr:cNvSpPr/>
      </xdr:nvSpPr>
      <xdr:spPr>
        <a:xfrm>
          <a:off x="12936220" y="92710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151130</xdr:colOff>
      <xdr:row>6</xdr:row>
      <xdr:rowOff>130175</xdr:rowOff>
    </xdr:from>
    <xdr:to>
      <xdr:col>13</xdr:col>
      <xdr:colOff>227330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950D87A-81E4-40C5-A672-CA07F7CDDBF7}"/>
            </a:ext>
          </a:extLst>
        </xdr:cNvPr>
        <xdr:cNvSpPr/>
      </xdr:nvSpPr>
      <xdr:spPr>
        <a:xfrm>
          <a:off x="10380980" y="1454150"/>
          <a:ext cx="1905000" cy="40005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5120AB-F912-9F8B-1895-B0FFC6D0303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4558FB-89C2-7126-0756-40B08C4286CD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5FAC226-6014-FA0E-4DD3-CBBB5A9B1EAE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1A1EC66-117D-FD08-3E55-036BB2F102C6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17569DE-8FDA-4CDF-8508-E95BB9D766AF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5EFEBFC-A743-4DFD-BB4D-8084C8E43ED9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E41237F-CDF8-45EA-8AC4-46514CAA900D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AE47C1D6-33BF-48EF-93B5-B66340BD0DEF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3DDA26-EA79-4C96-887D-76102AA2D40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7290C8-FBFE-46D1-9F5D-E86F2760FEE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95397D2-C7A4-4D7C-B08E-392861E82A9C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6DF233D-BCF0-4EE3-B436-DCA4F722AD6A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158750</xdr:colOff>
      <xdr:row>1</xdr:row>
      <xdr:rowOff>219075</xdr:rowOff>
    </xdr:from>
    <xdr:to>
      <xdr:col>13</xdr:col>
      <xdr:colOff>234950</xdr:colOff>
      <xdr:row>3</xdr:row>
      <xdr:rowOff>66675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250DD1F-43D3-497F-90B8-7E733C6EC01C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158750</xdr:colOff>
      <xdr:row>4</xdr:row>
      <xdr:rowOff>3175</xdr:rowOff>
    </xdr:from>
    <xdr:to>
      <xdr:col>13</xdr:col>
      <xdr:colOff>234950</xdr:colOff>
      <xdr:row>6</xdr:row>
      <xdr:rowOff>3175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48A5157-A89E-4341-893B-9E559A7C1AB7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260350</xdr:colOff>
      <xdr:row>4</xdr:row>
      <xdr:rowOff>3175</xdr:rowOff>
    </xdr:from>
    <xdr:to>
      <xdr:col>17</xdr:col>
      <xdr:colOff>336550</xdr:colOff>
      <xdr:row>6</xdr:row>
      <xdr:rowOff>3175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CA74ABF-3E9E-4494-9537-6109EB1E547A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158750</xdr:colOff>
      <xdr:row>6</xdr:row>
      <xdr:rowOff>130175</xdr:rowOff>
    </xdr:from>
    <xdr:to>
      <xdr:col>13</xdr:col>
      <xdr:colOff>234950</xdr:colOff>
      <xdr:row>8</xdr:row>
      <xdr:rowOff>130175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389E3E5-E472-48DE-B166-FFF0A3576F0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114935</xdr:colOff>
      <xdr:row>1</xdr:row>
      <xdr:rowOff>219075</xdr:rowOff>
    </xdr:from>
    <xdr:to>
      <xdr:col>13</xdr:col>
      <xdr:colOff>191135</xdr:colOff>
      <xdr:row>3</xdr:row>
      <xdr:rowOff>76200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6ADC82-B3CE-A365-C9D0-C94CDDFA1A21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10</xdr:col>
      <xdr:colOff>114935</xdr:colOff>
      <xdr:row>4</xdr:row>
      <xdr:rowOff>22225</xdr:rowOff>
    </xdr:from>
    <xdr:to>
      <xdr:col>13</xdr:col>
      <xdr:colOff>191135</xdr:colOff>
      <xdr:row>6</xdr:row>
      <xdr:rowOff>41275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4A539F2-597B-3525-8412-7D75488D9E1C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14</xdr:col>
      <xdr:colOff>216535</xdr:colOff>
      <xdr:row>4</xdr:row>
      <xdr:rowOff>22225</xdr:rowOff>
    </xdr:from>
    <xdr:to>
      <xdr:col>17</xdr:col>
      <xdr:colOff>292735</xdr:colOff>
      <xdr:row>6</xdr:row>
      <xdr:rowOff>41275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D352E99-851A-A2AF-90CB-69FD5EC6681B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10</xdr:col>
      <xdr:colOff>114935</xdr:colOff>
      <xdr:row>6</xdr:row>
      <xdr:rowOff>168275</xdr:rowOff>
    </xdr:from>
    <xdr:to>
      <xdr:col>13</xdr:col>
      <xdr:colOff>191135</xdr:colOff>
      <xdr:row>8</xdr:row>
      <xdr:rowOff>187325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13A38C5-48E7-D2DD-007C-5AFCFB16FD6B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339725</xdr:colOff>
      <xdr:row>2</xdr:row>
      <xdr:rowOff>47625</xdr:rowOff>
    </xdr:from>
    <xdr:to>
      <xdr:col>12</xdr:col>
      <xdr:colOff>415925</xdr:colOff>
      <xdr:row>4</xdr:row>
      <xdr:rowOff>47625</xdr:rowOff>
    </xdr:to>
    <xdr:sp macro="OverwriteSchedu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68DC54-167D-3931-A3C5-71287FA7AA9E}"/>
            </a:ext>
          </a:extLst>
        </xdr:cNvPr>
        <xdr:cNvSpPr/>
      </xdr:nvSpPr>
      <xdr:spPr>
        <a:xfrm>
          <a:off x="10160000" y="381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Overwrite Schedule</a:t>
          </a:r>
        </a:p>
      </xdr:txBody>
    </xdr:sp>
    <xdr:clientData/>
  </xdr:twoCellAnchor>
  <xdr:twoCellAnchor editAs="absolute">
    <xdr:from>
      <xdr:col>9</xdr:col>
      <xdr:colOff>339725</xdr:colOff>
      <xdr:row>4</xdr:row>
      <xdr:rowOff>174625</xdr:rowOff>
    </xdr:from>
    <xdr:to>
      <xdr:col>12</xdr:col>
      <xdr:colOff>415925</xdr:colOff>
      <xdr:row>6</xdr:row>
      <xdr:rowOff>174625</xdr:rowOff>
    </xdr:to>
    <xdr:sp macro="GenerateThisSli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9EC8EA5-2571-08A1-50D8-C34925F43146}"/>
            </a:ext>
          </a:extLst>
        </xdr:cNvPr>
        <xdr:cNvSpPr/>
      </xdr:nvSpPr>
      <xdr:spPr>
        <a:xfrm>
          <a:off x="1016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Slide</a:t>
          </a:r>
        </a:p>
      </xdr:txBody>
    </xdr:sp>
    <xdr:clientData/>
  </xdr:twoCellAnchor>
  <xdr:twoCellAnchor editAs="absolute">
    <xdr:from>
      <xdr:col>13</xdr:col>
      <xdr:colOff>441325</xdr:colOff>
      <xdr:row>4</xdr:row>
      <xdr:rowOff>174625</xdr:rowOff>
    </xdr:from>
    <xdr:to>
      <xdr:col>16</xdr:col>
      <xdr:colOff>517525</xdr:colOff>
      <xdr:row>6</xdr:row>
      <xdr:rowOff>174625</xdr:rowOff>
    </xdr:to>
    <xdr:sp macro="GenerateAllSlid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03A4952-EBA9-CD61-9008-2AE26FCE9E94}"/>
            </a:ext>
          </a:extLst>
        </xdr:cNvPr>
        <xdr:cNvSpPr/>
      </xdr:nvSpPr>
      <xdr:spPr>
        <a:xfrm>
          <a:off x="12700000" y="889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ALL Slides</a:t>
          </a:r>
        </a:p>
      </xdr:txBody>
    </xdr:sp>
    <xdr:clientData/>
  </xdr:twoCellAnchor>
  <xdr:twoCellAnchor editAs="absolute">
    <xdr:from>
      <xdr:col>9</xdr:col>
      <xdr:colOff>339725</xdr:colOff>
      <xdr:row>7</xdr:row>
      <xdr:rowOff>111125</xdr:rowOff>
    </xdr:from>
    <xdr:to>
      <xdr:col>12</xdr:col>
      <xdr:colOff>415925</xdr:colOff>
      <xdr:row>9</xdr:row>
      <xdr:rowOff>111125</xdr:rowOff>
    </xdr:to>
    <xdr:sp macro="CreateNewShee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98CA58C2-45BE-5E7C-8400-00D3C8B7BE61}"/>
            </a:ext>
          </a:extLst>
        </xdr:cNvPr>
        <xdr:cNvSpPr/>
      </xdr:nvSpPr>
      <xdr:spPr>
        <a:xfrm>
          <a:off x="10160000" y="1397000"/>
          <a:ext cx="1905000" cy="381000"/>
        </a:xfrm>
        <a:prstGeom prst="roundRect">
          <a:avLst/>
        </a:prstGeom>
        <a:solidFill>
          <a:srgbClr val="00B050"/>
        </a:solidFill>
        <a:ln w="12700" cap="flat" cmpd="sng" algn="ctr">
          <a:noFill/>
          <a:prstDash val="solid"/>
          <a:miter lim="800000"/>
        </a:ln>
        <a:effectLst>
          <a:outerShdw blurRad="127000" dist="40411" dir="2700002" rotWithShape="0">
            <a:srgbClr val="000000">
              <a:alpha val="40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Create New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FF7A89F-AFD6-44F9-91FA-5320435F5295}" name="ProjectInfo7" displayName="ProjectInfo7" ref="A2:B12" totalsRowShown="0" dataDxfId="372">
  <autoFilter ref="A2:B12" xr:uid="{8FF7A89F-AFD6-44F9-91FA-5320435F5295}">
    <filterColumn colId="0" hiddenButton="1"/>
    <filterColumn colId="1" hiddenButton="1"/>
  </autoFilter>
  <tableColumns count="2">
    <tableColumn id="1" xr3:uid="{6C484F40-E155-44A6-8DFB-E60214542DA1}" name="Parameter" dataDxfId="371"/>
    <tableColumn id="2" xr3:uid="{94407EB5-78AD-458C-8066-339B34AC729E}" name="Value" dataDxfId="37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2A9323-8C08-4798-829E-88D7FFDF19B8}" name="PDT7" displayName="PDT7_" ref="A15:B32" totalsRowShown="0">
  <autoFilter ref="A15:B32" xr:uid="{672A9323-8C08-4798-829E-88D7FFDF19B8}">
    <filterColumn colId="0" hiddenButton="1"/>
    <filterColumn colId="1" hiddenButton="1"/>
  </autoFilter>
  <tableColumns count="2">
    <tableColumn id="1" xr3:uid="{D97821A6-A59D-44F2-921B-30D44248D36E}" name="Role"/>
    <tableColumn id="2" xr3:uid="{FC1037DE-205C-426F-8406-7726D642B504}" name="Person"/>
  </tableColumns>
  <tableStyleInfo name="TableStyleDark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10DB7F8-5CB7-436D-BD24-C2A35F600323}" name="Comments7" displayName="Comments7" ref="A35:B36" totalsRowShown="0" dataDxfId="369">
  <autoFilter ref="A35:B36" xr:uid="{C10DB7F8-5CB7-436D-BD24-C2A35F600323}">
    <filterColumn colId="0" hiddenButton="1"/>
    <filterColumn colId="1" hiddenButton="1"/>
  </autoFilter>
  <tableColumns count="2">
    <tableColumn id="1" xr3:uid="{16B921F1-C8E8-4517-A9F8-AADB259C5AB6}" name="Show" dataDxfId="368"/>
    <tableColumn id="2" xr3:uid="{880D2F3B-3C55-4FD9-A710-ED1DC6E44CA6}" name="Comment" dataDxfId="367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5DB6CB4-6EA1-401A-ABD0-05CA0AACAF73}" name="ProjectInfo1" displayName="ProjectInfo1" ref="A2:B13" totalsRowShown="0" dataDxfId="366">
  <autoFilter ref="A2:B13" xr:uid="{25DB6CB4-6EA1-401A-ABD0-05CA0AACAF73}">
    <filterColumn colId="0" hiddenButton="1"/>
    <filterColumn colId="1" hiddenButton="1"/>
  </autoFilter>
  <tableColumns count="2">
    <tableColumn id="1" xr3:uid="{228E4098-9BCB-47D1-BE2E-EBDB6AFB5155}" name="Parameter" dataDxfId="365"/>
    <tableColumn id="2" xr3:uid="{E6557781-5517-4D24-81B7-8A20B7468054}" name="Value" dataDxfId="36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7E70BC5-8F20-490D-AD28-B20202A27578}" name="PDT1" displayName="PDT1_" ref="A16:B35" totalsRowShown="0">
  <autoFilter ref="A16:B35" xr:uid="{B7E70BC5-8F20-490D-AD28-B20202A27578}">
    <filterColumn colId="0" hiddenButton="1"/>
    <filterColumn colId="1" hiddenButton="1"/>
  </autoFilter>
  <tableColumns count="2">
    <tableColumn id="1" xr3:uid="{53700638-A9C8-472E-99DE-661E4B685290}" name="Role"/>
    <tableColumn id="2" xr3:uid="{C574289D-8E84-4EE9-92B4-62E6706B6DBB}" name="Person"/>
  </tableColumns>
  <tableStyleInfo name="TableStyleDark1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48EF6A3-901C-44A5-9532-45BAE609C1A6}" name="Comments1" displayName="Comments1" ref="A38:B73" totalsRowShown="0" dataDxfId="363">
  <autoFilter ref="A38:B73" xr:uid="{E48EF6A3-901C-44A5-9532-45BAE609C1A6}">
    <filterColumn colId="0" hiddenButton="1"/>
    <filterColumn colId="1" hiddenButton="1"/>
  </autoFilter>
  <tableColumns count="2">
    <tableColumn id="1" xr3:uid="{347D472D-450C-43E2-AF88-59089EDCADE4}" name="Show" dataDxfId="362"/>
    <tableColumn id="2" xr3:uid="{212E206A-D054-4229-9031-6338EE203E7C}" name="Comment" dataDxfId="36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3BC5944D-ABDB-4BD9-99BE-394672025664}" name="Schedule17" displayName="Schedule17_3" ref="D2:G11" totalsRowShown="0" headerRowDxfId="360" dataDxfId="359">
  <autoFilter ref="D2:G11" xr:uid="{3BC5944D-ABDB-4BD9-99BE-394672025664}">
    <filterColumn colId="0" hiddenButton="1"/>
    <filterColumn colId="1" hiddenButton="1"/>
    <filterColumn colId="2" hiddenButton="1"/>
    <filterColumn colId="3" hiddenButton="1"/>
  </autoFilter>
  <tableColumns count="4">
    <tableColumn id="1" xr3:uid="{B4B64DE6-1EC6-471E-9394-A38BD728290C}" name="ID" dataDxfId="358"/>
    <tableColumn id="2" xr3:uid="{EA3E87AF-B4F6-4EFA-A5DA-248E66E36BBA}" name="Task" dataDxfId="357"/>
    <tableColumn id="3" xr3:uid="{C286E236-8C44-413C-BCD4-233D323F5253}" name="Start" dataDxfId="356"/>
    <tableColumn id="4" xr3:uid="{4468EEE7-8331-4F3C-8A33-62D82F7661F1}" name="End" dataDxfId="355"/>
  </tableColumns>
  <tableStyleInfo name="AF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9A4E8BF-5637-40C6-8288-608B8EC8B5E4}" name="ProjectInfo3" displayName="ProjectInfo3" ref="A2:B12" totalsRowShown="0" dataDxfId="354">
  <autoFilter ref="A2:B12" xr:uid="{99A4E8BF-5637-40C6-8288-608B8EC8B5E4}">
    <filterColumn colId="0" hiddenButton="1"/>
    <filterColumn colId="1" hiddenButton="1"/>
  </autoFilter>
  <tableColumns count="2">
    <tableColumn id="1" xr3:uid="{E8811832-04CA-4496-ADAB-D68FDDBE5C5C}" name="Parameter" dataDxfId="353"/>
    <tableColumn id="2" xr3:uid="{C78611F1-B026-4478-87C4-7697DE843BCB}" name="Value" dataDxfId="352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5970DEE-1C33-4DA3-B176-30AD0689A242}" name="PDT3" displayName="PDT3_" ref="A15:B32" totalsRowShown="0">
  <autoFilter ref="A15:B32" xr:uid="{55970DEE-1C33-4DA3-B176-30AD0689A242}">
    <filterColumn colId="0" hiddenButton="1"/>
    <filterColumn colId="1" hiddenButton="1"/>
  </autoFilter>
  <tableColumns count="2">
    <tableColumn id="1" xr3:uid="{CA0F1E8B-4DC1-456D-ADA6-CA0F20F7A0C2}" name="Role"/>
    <tableColumn id="2" xr3:uid="{68BDD5DD-1313-496D-AA02-A15CA93F2BC2}" name="Person"/>
  </tableColumns>
  <tableStyleInfo name="TableStyleDark1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8B47125-5E9F-4DFF-8388-7B3B75239112}" name="Comments3" displayName="Comments3" ref="A35:B41" totalsRowShown="0" dataDxfId="351">
  <autoFilter ref="A35:B41" xr:uid="{28B47125-5E9F-4DFF-8388-7B3B75239112}">
    <filterColumn colId="0" hiddenButton="1"/>
    <filterColumn colId="1" hiddenButton="1"/>
  </autoFilter>
  <tableColumns count="2">
    <tableColumn id="1" xr3:uid="{9CA45E14-5E7A-4A70-983D-A79EF06B4190}" name="Show" dataDxfId="350"/>
    <tableColumn id="2" xr3:uid="{0AE750E9-0822-4D91-BB91-0380F9DF0766}" name="Comment" dataDxfId="349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556FBB2-2815-4020-B481-C5A6441219C2}" name="Schedule2" displayName="Schedule2" ref="D2:H7" totalsRowShown="0" headerRowDxfId="348" dataDxfId="347">
  <autoFilter ref="D2:H7" xr:uid="{6556FBB2-2815-4020-B481-C5A6441219C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FF31246-B248-4D1A-9647-EC162C294A82}" name="ID" dataDxfId="346"/>
    <tableColumn id="2" xr3:uid="{76B050FC-D59C-4F6C-98FD-1BC20134FD69}" name="Task" dataDxfId="345"/>
    <tableColumn id="3" xr3:uid="{47365CF6-861F-486D-887C-D4976AF00371}" name="Mtg or Submittal" dataDxfId="344"/>
    <tableColumn id="4" xr3:uid="{C6FBFF3D-E5FF-4BC6-8530-87E13590055B}" name="Review Start" dataDxfId="343"/>
    <tableColumn id="5" xr3:uid="{9522C2FA-2B5B-4CC9-BFD0-5FCCE32A8675}" name="End" dataDxfId="342"/>
  </tableColumns>
  <tableStyleInfo name="USMC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1AA3D8D-3357-4865-9121-9F887BC663C6}" name="ProjectInfo2" displayName="ProjectInfo2" ref="A2:B13" totalsRowShown="0" dataDxfId="341">
  <autoFilter ref="A2:B13" xr:uid="{E1AA3D8D-3357-4865-9121-9F887BC663C6}">
    <filterColumn colId="0" hiddenButton="1"/>
    <filterColumn colId="1" hiddenButton="1"/>
  </autoFilter>
  <tableColumns count="2">
    <tableColumn id="1" xr3:uid="{B5F45B6A-4750-46BB-B1A7-D853472C9573}" name="Parameter" dataDxfId="340"/>
    <tableColumn id="2" xr3:uid="{CF8BA30B-55B2-41EC-8342-70328E146FBC}" name="Value" dataDxfId="339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86A59C-9B44-40EC-9D18-74E2A67B6F79}" name="PDT2" displayName="PDT2_" ref="A16:B35" totalsRowShown="0">
  <autoFilter ref="A16:B35" xr:uid="{0086A59C-9B44-40EC-9D18-74E2A67B6F79}">
    <filterColumn colId="0" hiddenButton="1"/>
    <filterColumn colId="1" hiddenButton="1"/>
  </autoFilter>
  <tableColumns count="2">
    <tableColumn id="1" xr3:uid="{6F171245-8696-4FCF-8A7B-BA5873674C34}" name="Role"/>
    <tableColumn id="2" xr3:uid="{6097C630-6515-406E-95B5-C8E1621A9638}" name="Person"/>
  </tableColumns>
  <tableStyleInfo name="TableStyleDark1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BFD48BC-6A73-4DCA-9A62-F7B7C592F872}" name="Comments2" displayName="Comments2" ref="A38:B56" totalsRowShown="0" dataDxfId="338">
  <autoFilter ref="A38:B56" xr:uid="{DBFD48BC-6A73-4DCA-9A62-F7B7C592F872}">
    <filterColumn colId="0" hiddenButton="1"/>
    <filterColumn colId="1" hiddenButton="1"/>
  </autoFilter>
  <tableColumns count="2">
    <tableColumn id="1" xr3:uid="{1C8F0DDF-CA4C-4B19-804D-64C3017CD3BE}" name="Show" dataDxfId="337"/>
    <tableColumn id="2" xr3:uid="{E7209EBA-08C3-4656-8CFE-865263F475AC}" name="Comment" dataDxfId="336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059068-7F9D-49C2-AE8F-278232930DE2}" name="Schedule1" displayName="Schedule1" ref="D2:G10" totalsRowShown="0" headerRowDxfId="335" dataDxfId="334">
  <autoFilter ref="D2:G10" xr:uid="{17059068-7F9D-49C2-AE8F-278232930DE2}">
    <filterColumn colId="0" hiddenButton="1"/>
    <filterColumn colId="1" hiddenButton="1"/>
    <filterColumn colId="2" hiddenButton="1"/>
    <filterColumn colId="3" hiddenButton="1"/>
  </autoFilter>
  <tableColumns count="4">
    <tableColumn id="1" xr3:uid="{12B198D5-E7FD-44E0-BD44-F0E25BD46C82}" name="ID" dataDxfId="333"/>
    <tableColumn id="2" xr3:uid="{95FF985F-46FA-4BA0-87A9-0281E9F0052E}" name="Task" dataDxfId="332"/>
    <tableColumn id="3" xr3:uid="{E10F87BA-6197-4AEC-BFF6-742C872E3EED}" name="Start" dataDxfId="331"/>
    <tableColumn id="4" xr3:uid="{7124C1F5-7B39-414D-8AAA-50328779BA39}" name="End" dataDxfId="330"/>
  </tableColumns>
  <tableStyleInfo name="Army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9F8476FC-A415-43E0-8FA8-F8C73CFA1926}" name="ProjectInfo4" displayName="ProjectInfo4" ref="A2:B13" totalsRowShown="0" dataDxfId="329">
  <autoFilter ref="A2:B13" xr:uid="{9F8476FC-A415-43E0-8FA8-F8C73CFA1926}">
    <filterColumn colId="0" hiddenButton="1"/>
    <filterColumn colId="1" hiddenButton="1"/>
  </autoFilter>
  <tableColumns count="2">
    <tableColumn id="1" xr3:uid="{7081CF1A-A590-4066-A05F-FA11E11921E5}" name="Parameter" dataDxfId="328"/>
    <tableColumn id="2" xr3:uid="{DBCF69D3-EB99-46B7-8019-BFC7F2B59161}" name="Value" dataDxfId="327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4B608CF1-0F9B-4C52-A77C-43AC8EAAE599}" name="PDT4" displayName="PDT4_" ref="A16:B35" totalsRowShown="0">
  <autoFilter ref="A16:B35" xr:uid="{4B608CF1-0F9B-4C52-A77C-43AC8EAAE599}">
    <filterColumn colId="0" hiddenButton="1"/>
    <filterColumn colId="1" hiddenButton="1"/>
  </autoFilter>
  <tableColumns count="2">
    <tableColumn id="1" xr3:uid="{A190B3F5-AC88-488D-AFAD-C765DB245569}" name="Role"/>
    <tableColumn id="2" xr3:uid="{40014A65-24DF-4E8B-86A6-23E7B2F952D4}" name="Person"/>
  </tableColumns>
  <tableStyleInfo name="TableStyleDark1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380542A8-EBD8-44FD-8CF0-44E08B787D65}" name="Comments4" displayName="Comments4" ref="A38:B44" totalsRowShown="0" dataDxfId="326">
  <autoFilter ref="A38:B44" xr:uid="{380542A8-EBD8-44FD-8CF0-44E08B787D65}">
    <filterColumn colId="0" hiddenButton="1"/>
    <filterColumn colId="1" hiddenButton="1"/>
  </autoFilter>
  <tableColumns count="2">
    <tableColumn id="1" xr3:uid="{110B7841-0A60-408E-B5E8-547E9342390A}" name="Show" dataDxfId="325"/>
    <tableColumn id="2" xr3:uid="{008C252D-D8B2-4D8A-8E43-A82E6F388BDD}" name="Comment" dataDxfId="324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748BA7D-0677-4C1E-A91C-910354C335B5}" name="Schedule3" displayName="Schedule3" ref="D2:G6" totalsRowShown="0" headerRowDxfId="323" dataDxfId="322">
  <autoFilter ref="D2:G6" xr:uid="{4748BA7D-0677-4C1E-A91C-910354C335B5}">
    <filterColumn colId="0" hiddenButton="1"/>
    <filterColumn colId="1" hiddenButton="1"/>
    <filterColumn colId="2" hiddenButton="1"/>
    <filterColumn colId="3" hiddenButton="1"/>
  </autoFilter>
  <tableColumns count="4">
    <tableColumn id="1" xr3:uid="{50A73E99-CBB6-4E0D-BF2B-2C944F32CA2F}" name="ID" dataDxfId="321"/>
    <tableColumn id="2" xr3:uid="{275CC843-67A9-4F7B-9698-C2E81D1F1E4E}" name="Task" dataDxfId="320"/>
    <tableColumn id="3" xr3:uid="{9A542C57-E03D-4031-9A7D-59E2C1E8816C}" name="Start" dataDxfId="319"/>
    <tableColumn id="4" xr3:uid="{74361601-8DD3-4FC8-820C-49D150EC927C}" name="End" dataDxfId="318"/>
  </tableColumns>
  <tableStyleInfo name="Army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B7E9B669-3242-4193-8443-0B2787151248}" name="ProjectInfo27" displayName="ProjectInfo27" ref="A2:B13" totalsRowShown="0" dataDxfId="317">
  <autoFilter ref="A2:B13" xr:uid="{B7E9B669-3242-4193-8443-0B2787151248}">
    <filterColumn colId="0" hiddenButton="1"/>
    <filterColumn colId="1" hiddenButton="1"/>
  </autoFilter>
  <tableColumns count="2">
    <tableColumn id="1" xr3:uid="{3AACD00C-D98B-4639-BA36-673D010D495D}" name="Parameter" dataDxfId="316"/>
    <tableColumn id="2" xr3:uid="{50023967-D44F-4788-9DFA-2CCC63944727}" name="Value" dataDxfId="315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02098F8A-24B2-4D4A-8713-1711AC5E611D}" name="PDT27" displayName="PDT27_" ref="A16:B35" totalsRowShown="0">
  <autoFilter ref="A16:B35" xr:uid="{02098F8A-24B2-4D4A-8713-1711AC5E611D}">
    <filterColumn colId="0" hiddenButton="1"/>
    <filterColumn colId="1" hiddenButton="1"/>
  </autoFilter>
  <tableColumns count="2">
    <tableColumn id="1" xr3:uid="{8199EBBF-4EBC-445F-B80F-5CBEF8967806}" name="Role"/>
    <tableColumn id="2" xr3:uid="{B3C0F0BA-BB7A-4465-ACAC-92239868E6C8}" name="Person"/>
  </tableColumns>
  <tableStyleInfo name="TableStyleDark1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3A93C74F-42CB-4A97-8803-2ADB13CAF63A}" name="Comments27" displayName="Comments27" ref="A38:B43" totalsRowShown="0" dataDxfId="314">
  <autoFilter ref="A38:B43" xr:uid="{3A93C74F-42CB-4A97-8803-2ADB13CAF63A}">
    <filterColumn colId="0" hiddenButton="1"/>
    <filterColumn colId="1" hiddenButton="1"/>
  </autoFilter>
  <tableColumns count="2">
    <tableColumn id="1" xr3:uid="{DE12389D-494F-4AE4-94C8-FFE3BF8490E8}" name="Show" dataDxfId="313"/>
    <tableColumn id="2" xr3:uid="{6B30878D-BE2F-415C-9DAD-18245F4AEB43}" name="Comment" dataDxfId="312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A56670DC-7BE1-48A7-A12A-0ECDBF7CAB07}" name="Schedule26" displayName="Schedule26" ref="D2:H5" totalsRowShown="0" headerRowDxfId="311" dataDxfId="310">
  <autoFilter ref="D2:H5" xr:uid="{A56670DC-7BE1-48A7-A12A-0ECDBF7CAB0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17CCAE2-7F40-46E0-A2C0-E4DC95CD5402}" name="ID" dataDxfId="309"/>
    <tableColumn id="2" xr3:uid="{F453CA25-541B-4352-81D1-5D90E0F53E15}" name="Task" dataDxfId="308"/>
    <tableColumn id="3" xr3:uid="{4D105A22-F655-4316-836F-3F5789F98EDA}" name="Mtg or Submittal" dataDxfId="307"/>
    <tableColumn id="4" xr3:uid="{C05A3D90-515B-4B33-9E83-B5CC423CAC15}" name="Review Start" dataDxfId="306"/>
    <tableColumn id="5" xr3:uid="{D7C0A5CF-4509-4E5C-B143-E6781E295BF3}" name="End" dataDxfId="305"/>
  </tableColumns>
  <tableStyleInfo name="Army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639E8BE-93FD-4B42-B233-ECB6A05A1B16}" name="ProjectInfo5" displayName="ProjectInfo5" ref="A2:B13" totalsRowShown="0" dataDxfId="304">
  <autoFilter ref="A2:B13" xr:uid="{3639E8BE-93FD-4B42-B233-ECB6A05A1B16}">
    <filterColumn colId="0" hiddenButton="1"/>
    <filterColumn colId="1" hiddenButton="1"/>
  </autoFilter>
  <tableColumns count="2">
    <tableColumn id="1" xr3:uid="{F6AB50C0-5DEB-4DEA-94BE-2FBF2E7EE59C}" name="Parameter" dataDxfId="303"/>
    <tableColumn id="2" xr3:uid="{3C01F22C-51D3-41B0-BE66-B2B9C2C40CE6}" name="Value" dataDxfId="30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8DC1BFE0-3654-4F35-8AF8-3DFAA28F549C}" name="PDT5" displayName="PDT5_" ref="A16:B35" totalsRowShown="0">
  <autoFilter ref="A16:B35" xr:uid="{8DC1BFE0-3654-4F35-8AF8-3DFAA28F549C}">
    <filterColumn colId="0" hiddenButton="1"/>
    <filterColumn colId="1" hiddenButton="1"/>
  </autoFilter>
  <tableColumns count="2">
    <tableColumn id="1" xr3:uid="{2E4536A4-660E-4552-A150-7AD823247512}" name="Role"/>
    <tableColumn id="2" xr3:uid="{ABE04291-ACED-4CBF-9CDB-ACE9F4FCA3FD}" name="Person"/>
  </tableColumns>
  <tableStyleInfo name="TableStyleDark1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DF2633A8-FFC7-4BCB-82B4-CAD48BCF5F25}" name="Comments5" displayName="Comments5" ref="A38:B47" totalsRowShown="0" dataDxfId="301">
  <autoFilter ref="A38:B47" xr:uid="{DF2633A8-FFC7-4BCB-82B4-CAD48BCF5F25}">
    <filterColumn colId="0" hiddenButton="1"/>
    <filterColumn colId="1" hiddenButton="1"/>
  </autoFilter>
  <tableColumns count="2">
    <tableColumn id="1" xr3:uid="{72310EF5-12D4-4700-9479-ADE20FEF3630}" name="Show" dataDxfId="300"/>
    <tableColumn id="2" xr3:uid="{4E86D03D-6DD2-480D-A6A6-D49B1EE754E4}" name="Comment" dataDxfId="299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E212398-3802-4113-9A8F-79132209C301}" name="Schedule19" displayName="Schedule19_1" ref="D2:G17" totalsRowShown="0" headerRowDxfId="298" dataDxfId="297">
  <autoFilter ref="D2:G17" xr:uid="{FE212398-3802-4113-9A8F-79132209C301}">
    <filterColumn colId="0" hiddenButton="1"/>
    <filterColumn colId="1" hiddenButton="1"/>
    <filterColumn colId="2" hiddenButton="1"/>
    <filterColumn colId="3" hiddenButton="1"/>
  </autoFilter>
  <tableColumns count="4">
    <tableColumn id="1" xr3:uid="{1BEF3EF5-A674-4BF8-82BE-CB5CD09CE57C}" name="ID" dataDxfId="296"/>
    <tableColumn id="2" xr3:uid="{F182F67E-CEAC-46FB-BA4E-3C4A3A28B3EF}" name="Task" dataDxfId="295"/>
    <tableColumn id="3" xr3:uid="{61F7B1A6-F269-4517-89E1-1C1844B040FB}" name="Start" dataDxfId="294"/>
    <tableColumn id="4" xr3:uid="{DA82CF39-8673-4887-88C3-234A019220DE}" name="End" dataDxfId="293"/>
  </tableColumns>
  <tableStyleInfo name="Navy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8B16E0ED-091C-4825-89E9-5949AFDA59A0}" name="ProjectInfo597" displayName="ProjectInfo597" ref="A2:B13" totalsRowShown="0" dataDxfId="292">
  <autoFilter ref="A2:B13" xr:uid="{3639E8BE-93FD-4B42-B233-ECB6A05A1B16}">
    <filterColumn colId="0" hiddenButton="1"/>
    <filterColumn colId="1" hiddenButton="1"/>
  </autoFilter>
  <tableColumns count="2">
    <tableColumn id="1" xr3:uid="{55797F98-D778-462E-A7FD-52BED34D3E30}" name="Parameter" dataDxfId="291"/>
    <tableColumn id="2" xr3:uid="{3E1F2441-18B4-4B90-98D0-F44AD7973779}" name="Value" dataDxfId="29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CAD4C4D8-8378-4FFB-A2B2-D2B33863FD5D}" name="PDT5_99" displayName="PDT5_99" ref="A16:B35" totalsRowShown="0">
  <autoFilter ref="A16:B35" xr:uid="{8DC1BFE0-3654-4F35-8AF8-3DFAA28F549C}">
    <filterColumn colId="0" hiddenButton="1"/>
    <filterColumn colId="1" hiddenButton="1"/>
  </autoFilter>
  <tableColumns count="2">
    <tableColumn id="1" xr3:uid="{2E877F58-4E7C-4298-8BD5-71EE809EE369}" name="Role"/>
    <tableColumn id="2" xr3:uid="{9F49E3D6-16DC-4D1E-A752-462F72CE9654}" name="Person"/>
  </tableColumns>
  <tableStyleInfo name="TableStyleDark1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E61A911C-FD9E-418E-A7CD-F083774229D4}" name="Comments5100" displayName="Comments5100" ref="A38:B40" totalsRowShown="0" dataDxfId="289">
  <autoFilter ref="A38:B40" xr:uid="{DF2633A8-FFC7-4BCB-82B4-CAD48BCF5F25}">
    <filterColumn colId="0" hiddenButton="1"/>
    <filterColumn colId="1" hiddenButton="1"/>
  </autoFilter>
  <tableColumns count="2">
    <tableColumn id="1" xr3:uid="{2C35EB9F-FDD4-47B2-9C6B-E025E598E8BB}" name="Show" dataDxfId="288"/>
    <tableColumn id="2" xr3:uid="{02D61C61-FCA4-4770-BD0C-D68C3A519AB5}" name="Comment" dataDxfId="287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2416EB74-89BA-4C3C-A84C-9BE8B4A7F145}" name="Schedule28" displayName="Schedule28" ref="D2:G17" totalsRowShown="0" headerRowDxfId="286" dataDxfId="285">
  <autoFilter ref="D2:G17" xr:uid="{2416EB74-89BA-4C3C-A84C-9BE8B4A7F145}">
    <filterColumn colId="0" hiddenButton="1"/>
    <filterColumn colId="1" hiddenButton="1"/>
    <filterColumn colId="2" hiddenButton="1"/>
    <filterColumn colId="3" hiddenButton="1"/>
  </autoFilter>
  <tableColumns count="4">
    <tableColumn id="1" xr3:uid="{CE65EFFB-7624-4179-BC4B-989FA37273D5}" name="ID" dataDxfId="284"/>
    <tableColumn id="2" xr3:uid="{9DE386E1-329C-467E-ADFD-1288DD763737}" name="Task" dataDxfId="283"/>
    <tableColumn id="3" xr3:uid="{70257906-31EE-4876-85EA-02AD167E75D4}" name="Start" dataDxfId="282"/>
    <tableColumn id="4" xr3:uid="{11AEA002-7EDA-4E00-BA1D-614E4DE01139}" name="End" dataDxfId="281"/>
  </tableColumns>
  <tableStyleInfo name="Army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AF9F722-001F-497E-9CE6-621B629AA347}" name="ProjectInfo6" displayName="ProjectInfo6" ref="A2:B13" totalsRowShown="0" dataDxfId="280">
  <autoFilter ref="A2:B13" xr:uid="{0AF9F722-001F-497E-9CE6-621B629AA347}">
    <filterColumn colId="0" hiddenButton="1"/>
    <filterColumn colId="1" hiddenButton="1"/>
  </autoFilter>
  <tableColumns count="2">
    <tableColumn id="1" xr3:uid="{952ED155-5283-4BF4-B522-19EE86264817}" name="Parameter" dataDxfId="279"/>
    <tableColumn id="2" xr3:uid="{626EE21D-9632-4739-8D59-989A7CE3804C}" name="Value" dataDxfId="278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C6FBD6D-8124-4D9A-89D1-497A34E100DD}" name="PDT6" displayName="PDT6_" ref="A16:B35" totalsRowShown="0">
  <autoFilter ref="A16:B35" xr:uid="{3C6FBD6D-8124-4D9A-89D1-497A34E100DD}">
    <filterColumn colId="0" hiddenButton="1"/>
    <filterColumn colId="1" hiddenButton="1"/>
  </autoFilter>
  <tableColumns count="2">
    <tableColumn id="1" xr3:uid="{FEC9F9EC-F05A-4E29-A801-02ADB67DCA71}" name="Role"/>
    <tableColumn id="2" xr3:uid="{93048B12-9728-40DA-8F90-5327D78C5E85}" name="Person"/>
  </tableColumns>
  <tableStyleInfo name="TableStyleDark1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74415E9-1C7B-4526-8DC6-D387246B7D20}" name="Comments6" displayName="Comments6" ref="A38:B51" totalsRowShown="0" dataDxfId="277">
  <autoFilter ref="A38:B51" xr:uid="{374415E9-1C7B-4526-8DC6-D387246B7D20}">
    <filterColumn colId="0" hiddenButton="1"/>
    <filterColumn colId="1" hiddenButton="1"/>
  </autoFilter>
  <tableColumns count="2">
    <tableColumn id="1" xr3:uid="{DF122ECC-C943-4420-B8DC-095F4B4521D4}" name="Show" dataDxfId="276"/>
    <tableColumn id="2" xr3:uid="{568E2DFE-EA84-4D23-92C8-2A8030B20EA1}" name="Comment" dataDxfId="275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38A8826-1CC5-4CE6-B11C-C28710A907DB}" name="Schedule5" displayName="Schedule5" ref="D2:G16" totalsRowShown="0" headerRowDxfId="274" dataDxfId="273">
  <autoFilter ref="D2:G16" xr:uid="{C38A8826-1CC5-4CE6-B11C-C28710A907DB}">
    <filterColumn colId="0" hiddenButton="1"/>
    <filterColumn colId="1" hiddenButton="1"/>
    <filterColumn colId="2" hiddenButton="1"/>
    <filterColumn colId="3" hiddenButton="1"/>
  </autoFilter>
  <tableColumns count="4">
    <tableColumn id="1" xr3:uid="{DAFDA7AD-D04A-42F0-B3E2-FAB95123256A}" name="ID" dataDxfId="272"/>
    <tableColumn id="2" xr3:uid="{2556987B-0E3B-4F4C-A45D-53954CD388F3}" name="Task" dataDxfId="271"/>
    <tableColumn id="3" xr3:uid="{28D0F7D1-74E6-48DB-AA96-36F05778F098}" name="Start" dataDxfId="270"/>
    <tableColumn id="4" xr3:uid="{1DA32EBF-5EA2-46CE-B815-159E277CF05A}" name="End" dataDxfId="269"/>
  </tableColumns>
  <tableStyleInfo name="Army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898C8CB-78F1-48A3-AAF5-49529CAF9508}" name="ProjectInfo7" displayName="ProjectInfo7_1" ref="A2:B13" totalsRowShown="0" dataDxfId="268">
  <autoFilter ref="A2:B13" xr:uid="{0898C8CB-78F1-48A3-AAF5-49529CAF9508}">
    <filterColumn colId="0" hiddenButton="1"/>
    <filterColumn colId="1" hiddenButton="1"/>
  </autoFilter>
  <tableColumns count="2">
    <tableColumn id="1" xr3:uid="{9125DC17-2E29-4602-8BC5-8416A4FAA25E}" name="Parameter" dataDxfId="267"/>
    <tableColumn id="2" xr3:uid="{4BD8529D-1F1A-4789-B09D-F1E650416CC6}" name="Value" dataDxfId="266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7CAB917-A5F2-45B3-8656-23D8E7B0BDA2}" name="PDT7" displayName="PDT7__1" ref="A16:B35" totalsRowShown="0">
  <autoFilter ref="A16:B35" xr:uid="{57CAB917-A5F2-45B3-8656-23D8E7B0BDA2}">
    <filterColumn colId="0" hiddenButton="1"/>
    <filterColumn colId="1" hiddenButton="1"/>
  </autoFilter>
  <tableColumns count="2">
    <tableColumn id="1" xr3:uid="{E993DD5D-8268-4CA7-BC18-6EDEDD246B71}" name="Role"/>
    <tableColumn id="2" xr3:uid="{F9A7253C-DCA8-405D-BD3D-BF8067E2C670}" name="Person"/>
  </tableColumns>
  <tableStyleInfo name="TableStyleDark1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D9CE6D1-EC46-4BCB-9AF1-25170329D1EF}" name="Comments7" displayName="Comments7_" ref="A38:B70" totalsRowShown="0" dataDxfId="265">
  <autoFilter ref="A38:B70" xr:uid="{FD9CE6D1-EC46-4BCB-9AF1-25170329D1EF}">
    <filterColumn colId="0" hiddenButton="1"/>
    <filterColumn colId="1" hiddenButton="1"/>
  </autoFilter>
  <tableColumns count="2">
    <tableColumn id="1" xr3:uid="{BC090E40-5D18-44FB-AFB3-F19F2485D6A0}" name="Show" dataDxfId="264"/>
    <tableColumn id="2" xr3:uid="{F6CD4421-1B3C-47DB-B0EE-5930E1E9DD20}" name="Comment" dataDxfId="263"/>
  </tableColumns>
  <tableStyleInfo name="TableStyleLight9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90A8B34-7980-433E-A8C6-0A478141AC85}" name="Schedule16" displayName="Schedule16_1" ref="D2:H13" totalsRowShown="0" headerRowDxfId="262" dataDxfId="261">
  <autoFilter ref="D2:H13" xr:uid="{F90A8B34-7980-433E-A8C6-0A478141AC8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D262E15-B81F-46D5-B31E-2355D71AD903}" name="ID" dataDxfId="260"/>
    <tableColumn id="2" xr3:uid="{9E18A137-686F-45E6-AB5C-543C38A8A9DE}" name="Task" dataDxfId="259"/>
    <tableColumn id="3" xr3:uid="{041420F7-FFF3-447B-8761-7D42549DFE57}" name="Mtg or Submittal" dataDxfId="258"/>
    <tableColumn id="4" xr3:uid="{CD5F9972-5844-419A-94A7-5788E4F2FDA1}" name="Review Start" dataDxfId="257"/>
    <tableColumn id="5" xr3:uid="{A9AF8B13-BF42-465F-9A47-D0AF6F926D04}" name="End" dataDxfId="256"/>
  </tableColumns>
  <tableStyleInfo name="Army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79053E69-B373-41E7-BB34-EA83B8A20BEA}" name="ProjectInfo8" displayName="ProjectInfo8" ref="A2:B12" totalsRowShown="0" dataDxfId="255">
  <autoFilter ref="A2:B12" xr:uid="{79053E69-B373-41E7-BB34-EA83B8A20BEA}">
    <filterColumn colId="0" hiddenButton="1"/>
    <filterColumn colId="1" hiddenButton="1"/>
  </autoFilter>
  <tableColumns count="2">
    <tableColumn id="1" xr3:uid="{F5F972D7-F137-4F6B-9111-9A197332B4D9}" name="Parameter" dataDxfId="254"/>
    <tableColumn id="2" xr3:uid="{A6D91D06-7C94-4CBB-B975-1A4120C14C99}" name="Value" dataDxfId="253"/>
  </tableColumns>
  <tableStyleInfo name="TableStyleLight9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45B89DF1-B1E2-4061-8EC0-64D1F5D45E83}" name="PDT8" displayName="PDT8_" ref="A15:B32" totalsRowShown="0">
  <autoFilter ref="A15:B32" xr:uid="{45B89DF1-B1E2-4061-8EC0-64D1F5D45E83}">
    <filterColumn colId="0" hiddenButton="1"/>
    <filterColumn colId="1" hiddenButton="1"/>
  </autoFilter>
  <tableColumns count="2">
    <tableColumn id="1" xr3:uid="{BDD2B91B-8B2A-445A-BC26-9E3D6429E165}" name="Role"/>
    <tableColumn id="2" xr3:uid="{09F606B4-E2E3-4F64-91EC-BDAA0E438F33}" name="Person"/>
  </tableColumns>
  <tableStyleInfo name="TableStyleDark11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5EC70613-A1A4-48B4-8FA3-CC1D0BA6F2BE}" name="Comments8" displayName="Comments8" ref="A35:B46" totalsRowShown="0" dataDxfId="252">
  <autoFilter ref="A35:B46" xr:uid="{5EC70613-A1A4-48B4-8FA3-CC1D0BA6F2BE}">
    <filterColumn colId="0" hiddenButton="1"/>
    <filterColumn colId="1" hiddenButton="1"/>
  </autoFilter>
  <tableColumns count="2">
    <tableColumn id="1" xr3:uid="{C471BCC6-C198-4F43-894C-C710186652D0}" name="Show" dataDxfId="251"/>
    <tableColumn id="2" xr3:uid="{86AD9B4A-A1B6-48E0-8A7A-1D61F85E7868}" name="Comment" dataDxfId="250"/>
  </tableColumns>
  <tableStyleInfo name="TableStyleLight9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FDEF3CF5-E548-4E60-B0F5-344B093CB319}" name="Schedule7" displayName="Schedule7" ref="D2:H10" totalsRowShown="0" headerRowDxfId="249" dataDxfId="248">
  <autoFilter ref="D2:H10" xr:uid="{FDEF3CF5-E548-4E60-B0F5-344B093CB31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B1264B8-087A-4855-8184-D0DAF729B8E4}" name="ID" dataDxfId="247"/>
    <tableColumn id="2" xr3:uid="{988F2B0B-EFD0-42BD-A5A4-91FDF1F80313}" name="Task" dataDxfId="246"/>
    <tableColumn id="3" xr3:uid="{8ED03783-1827-41B3-A442-1213655D2DBB}" name="Mtg or Submittal" dataDxfId="245"/>
    <tableColumn id="4" xr3:uid="{D21998C7-E503-4520-8FEA-3F6C63F93CBB}" name="Review Start" dataDxfId="244"/>
    <tableColumn id="5" xr3:uid="{7D5C1CDA-1E56-498E-BAA9-1AC86CD76D5E}" name="End" dataDxfId="243"/>
  </tableColumns>
  <tableStyleInfo name="AF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2A4DFBCA-4F0C-4DE0-A88E-7791F4E85834}" name="ProjectInfo9" displayName="ProjectInfo9" ref="A2:B12" totalsRowShown="0" dataDxfId="242">
  <autoFilter ref="A2:B12" xr:uid="{2A4DFBCA-4F0C-4DE0-A88E-7791F4E85834}">
    <filterColumn colId="0" hiddenButton="1"/>
    <filterColumn colId="1" hiddenButton="1"/>
  </autoFilter>
  <tableColumns count="2">
    <tableColumn id="1" xr3:uid="{4A7057DA-45E8-4A70-854B-FD7D3FA62A32}" name="Parameter" dataDxfId="241"/>
    <tableColumn id="2" xr3:uid="{4338EB7A-34B4-4B66-8A4A-23FEE9E54E99}" name="Value" dataDxfId="240"/>
  </tableColumns>
  <tableStyleInfo name="TableStyleLight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84F778C-5733-45BB-BA86-AF8A772A4505}" name="PDT9" displayName="PDT9_" ref="A15:B32" totalsRowShown="0">
  <autoFilter ref="A15:B32" xr:uid="{684F778C-5733-45BB-BA86-AF8A772A4505}">
    <filterColumn colId="0" hiddenButton="1"/>
    <filterColumn colId="1" hiddenButton="1"/>
  </autoFilter>
  <tableColumns count="2">
    <tableColumn id="1" xr3:uid="{C42585EE-9B5D-47F2-A186-D5E3CD4559E9}" name="Role"/>
    <tableColumn id="2" xr3:uid="{0E7A010F-2341-40BB-B12A-A1794EC9449D}" name="Person"/>
  </tableColumns>
  <tableStyleInfo name="TableStyleDark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24CD95FE-F2C2-4987-9E70-094FAD71F58E}" name="Comments9" displayName="Comments9" ref="A35:B39" totalsRowShown="0" dataDxfId="239">
  <autoFilter ref="A35:B39" xr:uid="{24CD95FE-F2C2-4987-9E70-094FAD71F58E}">
    <filterColumn colId="0" hiddenButton="1"/>
    <filterColumn colId="1" hiddenButton="1"/>
  </autoFilter>
  <tableColumns count="2">
    <tableColumn id="1" xr3:uid="{CEFD817F-F502-460C-AADB-26EC25EFB00C}" name="Show" dataDxfId="238"/>
    <tableColumn id="2" xr3:uid="{7C9BA6A0-F76F-405F-8D44-BE3C8BB6C5D3}" name="Comment" dataDxfId="237"/>
  </tableColumns>
  <tableStyleInfo name="TableStyleLight9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EE303710-A4CE-4774-89DB-B5C7D422E3B9}" name="Schedule8" displayName="Schedule8" ref="D2:H7" totalsRowShown="0" headerRowDxfId="236" dataDxfId="235">
  <autoFilter ref="D2:H7" xr:uid="{EE303710-A4CE-4774-89DB-B5C7D422E3B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DB55244-22CA-4FD5-8E4B-829E4C7B0004}" name="ID" dataDxfId="234"/>
    <tableColumn id="2" xr3:uid="{194D3DC6-3ABB-46DD-9A50-BA2F105AA710}" name="Task" dataDxfId="233"/>
    <tableColumn id="3" xr3:uid="{96811CA6-C6C5-43E2-8574-3568E4BB8D30}" name="Mtg or Submittal" dataDxfId="232"/>
    <tableColumn id="4" xr3:uid="{B4FF295D-4829-45C3-9DCC-C352702F59D2}" name="Review Start" dataDxfId="231"/>
    <tableColumn id="5" xr3:uid="{B00AD1F8-A1DA-483E-B548-EC665153F898}" name="End" dataDxfId="230"/>
  </tableColumns>
  <tableStyleInfo name="Army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9AFF10FC-D75B-41EA-91E5-2E856E19C743}" name="ProjectInfo10" displayName="ProjectInfo10" ref="A2:B12" totalsRowShown="0" dataDxfId="229">
  <autoFilter ref="A2:B12" xr:uid="{9AFF10FC-D75B-41EA-91E5-2E856E19C743}">
    <filterColumn colId="0" hiddenButton="1"/>
    <filterColumn colId="1" hiddenButton="1"/>
  </autoFilter>
  <tableColumns count="2">
    <tableColumn id="1" xr3:uid="{3E25AC46-DA7A-4386-B5E6-34F119300D2D}" name="Parameter" dataDxfId="228"/>
    <tableColumn id="2" xr3:uid="{86B99A37-3AC0-4868-8CFD-8A937555545A}" name="Value" dataDxfId="227"/>
  </tableColumns>
  <tableStyleInfo name="TableStyleLight9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B92F2E0E-5C4F-4A93-840B-5237910C0DFB}" name="PDT10" displayName="PDT10_" ref="A15:B32" totalsRowShown="0">
  <autoFilter ref="A15:B32" xr:uid="{B92F2E0E-5C4F-4A93-840B-5237910C0DFB}">
    <filterColumn colId="0" hiddenButton="1"/>
    <filterColumn colId="1" hiddenButton="1"/>
  </autoFilter>
  <tableColumns count="2">
    <tableColumn id="1" xr3:uid="{07C11841-BA05-44CE-BCD9-6C555162FA88}" name="Role"/>
    <tableColumn id="2" xr3:uid="{12BD8B77-15DC-45AE-81F0-75BA96C19E79}" name="Person"/>
  </tableColumns>
  <tableStyleInfo name="TableStyleDark11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8408811A-DD69-4853-9E88-13AB3EBD2C5E}" name="Comments10" displayName="Comments10" ref="A35:B40" totalsRowShown="0" dataDxfId="226">
  <autoFilter ref="A35:B40" xr:uid="{8408811A-DD69-4853-9E88-13AB3EBD2C5E}">
    <filterColumn colId="0" hiddenButton="1"/>
    <filterColumn colId="1" hiddenButton="1"/>
  </autoFilter>
  <tableColumns count="2">
    <tableColumn id="1" xr3:uid="{6651B348-3118-45D5-8525-12B7601E4B6A}" name="Show" dataDxfId="225"/>
    <tableColumn id="2" xr3:uid="{F4E430FD-F21E-48F2-B795-CEFA3203A0AE}" name="Comment" dataDxfId="224"/>
  </tableColumns>
  <tableStyleInfo name="TableStyleLight9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B4AED66E-3730-4E8A-8E2A-50B343D935C1}" name="Schedule9" displayName="Schedule9" ref="D2:H17" totalsRowShown="0" headerRowDxfId="223" dataDxfId="222">
  <autoFilter ref="D2:H17" xr:uid="{B4AED66E-3730-4E8A-8E2A-50B343D935C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ECCCDCB-9409-4894-B81F-460C0466DFEA}" name="ID" dataDxfId="221"/>
    <tableColumn id="2" xr3:uid="{3286B5FD-5A8A-4714-8231-ADD46CD3386B}" name="Task" dataDxfId="220"/>
    <tableColumn id="3" xr3:uid="{5C929BF8-C622-449E-B004-FF82403DE369}" name="Mtg or Submittal" dataDxfId="219"/>
    <tableColumn id="4" xr3:uid="{92200D63-9E15-4640-9214-4F1B9B7AAFB0}" name="Review Start" dataDxfId="218"/>
    <tableColumn id="5" xr3:uid="{FC43DA9C-AF22-4056-B191-37003F8276E6}" name="End" dataDxfId="217"/>
  </tableColumns>
  <tableStyleInfo name="Navy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874EAEB-AA10-4D59-8C4C-C336F26437DB}" name="ProjectInfo11" displayName="ProjectInfo11" ref="A2:B13" totalsRowShown="0" dataDxfId="216">
  <autoFilter ref="A2:B13" xr:uid="{C874EAEB-AA10-4D59-8C4C-C336F26437DB}">
    <filterColumn colId="0" hiddenButton="1"/>
    <filterColumn colId="1" hiddenButton="1"/>
  </autoFilter>
  <tableColumns count="2">
    <tableColumn id="1" xr3:uid="{D900368D-1C62-4D16-8DE6-763D2F4815AF}" name="Parameter" dataDxfId="215"/>
    <tableColumn id="2" xr3:uid="{8BB7BCF8-D857-477A-86EA-CF0E67A8F74A}" name="Value" dataDxfId="214"/>
  </tableColumns>
  <tableStyleInfo name="TableStyleLight9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5C86DCAE-6600-46C9-93A8-051B0A61AAE1}" name="PDT11" displayName="PDT11_" ref="A16:B35" totalsRowShown="0">
  <autoFilter ref="A16:B35" xr:uid="{5C86DCAE-6600-46C9-93A8-051B0A61AAE1}">
    <filterColumn colId="0" hiddenButton="1"/>
    <filterColumn colId="1" hiddenButton="1"/>
  </autoFilter>
  <tableColumns count="2">
    <tableColumn id="1" xr3:uid="{159AC1BE-2B19-49C8-B12F-EBF519289A10}" name="Role"/>
    <tableColumn id="2" xr3:uid="{E3C6228F-596E-42F3-A280-2BE099494242}" name="Person"/>
  </tableColumns>
  <tableStyleInfo name="TableStyleDark11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4F29D2A-F277-43B3-B226-330302E78E45}" name="Comments11" displayName="Comments11" ref="A38:B53" totalsRowShown="0" dataDxfId="213">
  <autoFilter ref="A38:B53" xr:uid="{94F29D2A-F277-43B3-B226-330302E78E45}">
    <filterColumn colId="0" hiddenButton="1"/>
    <filterColumn colId="1" hiddenButton="1"/>
  </autoFilter>
  <tableColumns count="2">
    <tableColumn id="1" xr3:uid="{E31676B8-9EF4-4579-894C-5A7826E53C6C}" name="Show" dataDxfId="212"/>
    <tableColumn id="2" xr3:uid="{656DEB4A-1FF2-40D4-99FD-0A1C96C95AA9}" name="Comment" dataDxfId="211"/>
  </tableColumns>
  <tableStyleInfo name="TableStyleLight9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92332D66-70E5-47F0-9738-261E1FA4C50E}" name="Schedule19" displayName="Schedule19" ref="D2:H17" totalsRowShown="0" headerRowDxfId="210" dataDxfId="209">
  <autoFilter ref="D2:H17" xr:uid="{92332D66-70E5-47F0-9738-261E1FA4C50E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9166CC1C-F172-41D6-A074-D7F1475B39CF}" name="ID" dataDxfId="208"/>
    <tableColumn id="2" xr3:uid="{78FBE89A-4CE1-43D6-89F0-D6BFD7C67484}" name="Task" dataDxfId="207"/>
    <tableColumn id="3" xr3:uid="{58122E3F-F90A-4F98-95BA-480680702D3C}" name="Mtg or Submittal" dataDxfId="206"/>
    <tableColumn id="4" xr3:uid="{7BB6C42A-DECB-4575-9F29-C3A73D981C2F}" name="Review Start" dataDxfId="205"/>
    <tableColumn id="5" xr3:uid="{A31CE821-B4CB-46E2-A6AC-52B6FB5B080A}" name="End" dataDxfId="204"/>
  </tableColumns>
  <tableStyleInfo name="USMC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A124C8CE-06A8-44AF-8D7D-B5BE323BC16E}" name="ProjectInfo12" displayName="ProjectInfo12" ref="A2:B12" totalsRowShown="0" dataDxfId="203">
  <autoFilter ref="A2:B12" xr:uid="{A124C8CE-06A8-44AF-8D7D-B5BE323BC16E}">
    <filterColumn colId="0" hiddenButton="1"/>
    <filterColumn colId="1" hiddenButton="1"/>
  </autoFilter>
  <tableColumns count="2">
    <tableColumn id="1" xr3:uid="{BE65C57F-1B05-4B9E-9919-0045606C3165}" name="Parameter" dataDxfId="202"/>
    <tableColumn id="2" xr3:uid="{30DF5862-000B-4CA9-B833-ADCBEA1142A5}" name="Value" dataDxfId="201"/>
  </tableColumns>
  <tableStyleInfo name="TableStyleLight9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9E9D4181-E9B1-4ADA-B700-67A6705DC561}" name="PDT12" displayName="PDT12_" ref="A15:B32" totalsRowShown="0">
  <autoFilter ref="A15:B32" xr:uid="{9E9D4181-E9B1-4ADA-B700-67A6705DC561}">
    <filterColumn colId="0" hiddenButton="1"/>
    <filterColumn colId="1" hiddenButton="1"/>
  </autoFilter>
  <tableColumns count="2">
    <tableColumn id="1" xr3:uid="{5F67DAC4-0116-45D0-B13B-015D6FE3A739}" name="Role"/>
    <tableColumn id="2" xr3:uid="{EB64939B-54D2-409C-8C8B-1C67FAD2A246}" name="Person"/>
  </tableColumns>
  <tableStyleInfo name="TableStyleDark11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D172A487-85B1-4763-B652-5747D2C85EC2}" name="Comments12" displayName="Comments12" ref="A35:B36" totalsRowShown="0" dataDxfId="200">
  <autoFilter ref="A35:B36" xr:uid="{D172A487-85B1-4763-B652-5747D2C85EC2}">
    <filterColumn colId="0" hiddenButton="1"/>
    <filterColumn colId="1" hiddenButton="1"/>
  </autoFilter>
  <tableColumns count="2">
    <tableColumn id="1" xr3:uid="{A987121C-E40E-468A-B1C3-D8D29DB15B15}" name="Show" dataDxfId="199"/>
    <tableColumn id="2" xr3:uid="{33F64B42-29D5-445A-A6A0-0EA46E55A545}" name="Comment" dataDxfId="198"/>
  </tableColumns>
  <tableStyleInfo name="TableStyleLight9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D331EBFA-E0F0-45B1-9D2C-B7DBAB0DC288}" name="Schedule17" displayName="Schedule17_1" ref="D2:H17" totalsRowShown="0" headerRowDxfId="197" dataDxfId="196">
  <autoFilter ref="D2:H17" xr:uid="{D331EBFA-E0F0-45B1-9D2C-B7DBAB0DC28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896F5404-75AD-4CBD-A5EF-3C76A3DC96FC}" name="ID" dataDxfId="195"/>
    <tableColumn id="2" xr3:uid="{DC9F431D-BEC2-4345-B439-1CA6DD52DEAF}" name="Task" dataDxfId="194"/>
    <tableColumn id="3" xr3:uid="{26761AAE-E943-4399-84AF-FBE33539F25E}" name="Mtg or Submittal" dataDxfId="193"/>
    <tableColumn id="4" xr3:uid="{D526FD23-1BC5-4809-B8EC-8BE17841ECA5}" name="Review Start" dataDxfId="192"/>
    <tableColumn id="5" xr3:uid="{87C72A9E-A5B9-4287-A67B-C90A1E3C7C1E}" name="End" dataDxfId="191"/>
  </tableColumns>
  <tableStyleInfo name="Navy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9CBB139-46DB-437B-8BB9-A444D7E4EFFF}" name="ProjectInfo13" displayName="ProjectInfo13" ref="A2:B13" totalsRowShown="0" dataDxfId="190">
  <autoFilter ref="A2:B13" xr:uid="{09CBB139-46DB-437B-8BB9-A444D7E4EFFF}">
    <filterColumn colId="0" hiddenButton="1"/>
    <filterColumn colId="1" hiddenButton="1"/>
  </autoFilter>
  <tableColumns count="2">
    <tableColumn id="1" xr3:uid="{12A195E4-6AE8-47EF-8CC9-D22B59425108}" name="Parameter" dataDxfId="189"/>
    <tableColumn id="2" xr3:uid="{9328D9F7-0742-4269-B818-4E67DFA7EB62}" name="Value" dataDxfId="188"/>
  </tableColumns>
  <tableStyleInfo name="TableStyleLight9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81902561-97B7-4E0D-BF63-3D16C905631E}" name="PDT13" displayName="PDT13_" ref="A16:B35" totalsRowShown="0">
  <autoFilter ref="A16:B35" xr:uid="{81902561-97B7-4E0D-BF63-3D16C905631E}">
    <filterColumn colId="0" hiddenButton="1"/>
    <filterColumn colId="1" hiddenButton="1"/>
  </autoFilter>
  <tableColumns count="2">
    <tableColumn id="1" xr3:uid="{837E9067-DC7D-46FA-B2BB-CD7810FC4D33}" name="Role"/>
    <tableColumn id="2" xr3:uid="{2E4A6DEA-4B9B-4BD9-8295-63D7E8FCB2F6}" name="Person"/>
  </tableColumns>
  <tableStyleInfo name="TableStyleDark11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CB59863-2DC4-45F3-9180-305C7D9D0369}" name="Comments13" displayName="Comments13" ref="A38:B50" totalsRowShown="0" dataDxfId="187">
  <autoFilter ref="A38:B50" xr:uid="{DCB59863-2DC4-45F3-9180-305C7D9D0369}">
    <filterColumn colId="0" hiddenButton="1"/>
    <filterColumn colId="1" hiddenButton="1"/>
  </autoFilter>
  <tableColumns count="2">
    <tableColumn id="1" xr3:uid="{96FDF497-9868-401E-BCA2-25E0BA265D50}" name="Show" dataDxfId="186"/>
    <tableColumn id="2" xr3:uid="{24C8F8FA-D7F0-4BA2-94F3-D9F9574294C8}" name="Comment" dataDxfId="185"/>
  </tableColumns>
  <tableStyleInfo name="TableStyleLight9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43D7650C-7ACD-4ECB-93A0-5C7A9804907A}" name="Schedule12" displayName="Schedule12" ref="D2:G15" totalsRowShown="0" headerRowDxfId="184" dataDxfId="183">
  <autoFilter ref="D2:G15" xr:uid="{43D7650C-7ACD-4ECB-93A0-5C7A9804907A}">
    <filterColumn colId="0" hiddenButton="1"/>
    <filterColumn colId="1" hiddenButton="1"/>
    <filterColumn colId="2" hiddenButton="1"/>
    <filterColumn colId="3" hiddenButton="1"/>
  </autoFilter>
  <tableColumns count="4">
    <tableColumn id="1" xr3:uid="{A0DE7E56-6D62-46EF-A7FC-D3EA136BA149}" name="ID" dataDxfId="182"/>
    <tableColumn id="2" xr3:uid="{B4B8AEF8-29C7-47F2-A621-DA01843AF8FD}" name="Task" dataDxfId="181"/>
    <tableColumn id="3" xr3:uid="{E38164DC-425A-42B7-8EEA-FB04FDD5A101}" name="Start" dataDxfId="180"/>
    <tableColumn id="4" xr3:uid="{90722735-3F2F-4772-A9ED-29E9E4F7F216}" name="End" dataDxfId="179">
      <calculatedColumnFormula>F3+15</calculatedColumnFormula>
    </tableColumn>
  </tableColumns>
  <tableStyleInfo name="USMC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2EC94A09-3ABB-48FC-B044-44078D13228E}" name="ProjectInfo14" displayName="ProjectInfo14" ref="A2:B13" totalsRowShown="0" dataDxfId="178">
  <autoFilter ref="A2:B13" xr:uid="{2EC94A09-3ABB-48FC-B044-44078D13228E}">
    <filterColumn colId="0" hiddenButton="1"/>
    <filterColumn colId="1" hiddenButton="1"/>
  </autoFilter>
  <tableColumns count="2">
    <tableColumn id="1" xr3:uid="{051B8C3F-2011-4B61-95D4-381035D6A7CD}" name="Parameter" dataDxfId="177"/>
    <tableColumn id="2" xr3:uid="{A9A6AD56-E2DC-4FF9-83B3-F4B263BC58F8}" name="Value" dataDxfId="176"/>
  </tableColumns>
  <tableStyleInfo name="TableStyleLight9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6F275549-DA32-4987-817F-2798599E639E}" name="PDT14" displayName="PDT14_" ref="A16:B35" totalsRowShown="0">
  <autoFilter ref="A16:B35" xr:uid="{6F275549-DA32-4987-817F-2798599E639E}">
    <filterColumn colId="0" hiddenButton="1"/>
    <filterColumn colId="1" hiddenButton="1"/>
  </autoFilter>
  <tableColumns count="2">
    <tableColumn id="1" xr3:uid="{121029E4-D83C-4199-A7BF-2637857BBB52}" name="Role"/>
    <tableColumn id="2" xr3:uid="{AD86EFEF-1399-4217-A19F-14C8B78D34E6}" name="Person"/>
  </tableColumns>
  <tableStyleInfo name="TableStyleDark11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844C3526-C213-4B26-A2A0-16D8393CB5E0}" name="Comments14" displayName="Comments14" ref="A38:B52" totalsRowShown="0" dataDxfId="175">
  <autoFilter ref="A38:B52" xr:uid="{844C3526-C213-4B26-A2A0-16D8393CB5E0}">
    <filterColumn colId="0" hiddenButton="1"/>
    <filterColumn colId="1" hiddenButton="1"/>
  </autoFilter>
  <tableColumns count="2">
    <tableColumn id="1" xr3:uid="{90D77078-CAB7-4D83-BA21-2B0C28D775E4}" name="Show" dataDxfId="174"/>
    <tableColumn id="2" xr3:uid="{4E40935D-446B-4BEF-8A0F-D625E546D4D8}" name="Comment" dataDxfId="173"/>
  </tableColumns>
  <tableStyleInfo name="TableStyleLight9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C6F93E43-47AC-4E21-BA43-17448E936528}" name="Schedule13" displayName="Schedule13" ref="D2:G16" totalsRowShown="0" headerRowDxfId="172" dataDxfId="171">
  <autoFilter ref="D2:G16" xr:uid="{C6F93E43-47AC-4E21-BA43-17448E936528}">
    <filterColumn colId="0" hiddenButton="1"/>
    <filterColumn colId="1" hiddenButton="1"/>
    <filterColumn colId="2" hiddenButton="1"/>
    <filterColumn colId="3" hiddenButton="1"/>
  </autoFilter>
  <tableColumns count="4">
    <tableColumn id="1" xr3:uid="{9283D423-F69E-4EC0-8A87-3731497EA259}" name="ID" dataDxfId="170"/>
    <tableColumn id="2" xr3:uid="{BF29626C-B7F6-431B-BE85-A0186AD806D7}" name="Task" dataDxfId="169"/>
    <tableColumn id="3" xr3:uid="{859AF225-7852-4AE1-B0C9-311CA8356C1A}" name="Start" dataDxfId="168"/>
    <tableColumn id="4" xr3:uid="{1C88A9EC-53AE-45DE-BB37-F287F51BECC2}" name="End" dataDxfId="167"/>
  </tableColumns>
  <tableStyleInfo name="Navy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4010403F-2E70-4E65-A8E8-25FC5B94DD3B}" name="ProjectInfo15" displayName="ProjectInfo15" ref="A2:B12" totalsRowShown="0" dataDxfId="166">
  <autoFilter ref="A2:B12" xr:uid="{4010403F-2E70-4E65-A8E8-25FC5B94DD3B}">
    <filterColumn colId="0" hiddenButton="1"/>
    <filterColumn colId="1" hiddenButton="1"/>
  </autoFilter>
  <tableColumns count="2">
    <tableColumn id="1" xr3:uid="{69C066B5-63CF-45D7-A805-51841337621C}" name="Parameter" dataDxfId="165"/>
    <tableColumn id="2" xr3:uid="{BE2CD113-A1C8-4E80-A25E-60D3775AD59C}" name="Value" dataDxfId="164"/>
  </tableColumns>
  <tableStyleInfo name="TableStyleLight9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9D0023B-17E0-4326-8423-9F1EA803E2CE}" name="PDT15" displayName="PDT15_" ref="A15:B32" totalsRowShown="0">
  <autoFilter ref="A15:B32" xr:uid="{09D0023B-17E0-4326-8423-9F1EA803E2CE}">
    <filterColumn colId="0" hiddenButton="1"/>
    <filterColumn colId="1" hiddenButton="1"/>
  </autoFilter>
  <tableColumns count="2">
    <tableColumn id="1" xr3:uid="{276A7AC3-F1D8-4408-B0FC-510A21682112}" name="Role"/>
    <tableColumn id="2" xr3:uid="{5CBFF29A-8F0F-480D-A400-92C6C074D5BA}" name="Person"/>
  </tableColumns>
  <tableStyleInfo name="TableStyleDark11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E802016-053F-4C18-AC8A-9006C1F26CD6}" name="Comments15" displayName="Comments15" ref="A35:B43" totalsRowShown="0" dataDxfId="163">
  <autoFilter ref="A35:B43" xr:uid="{FE802016-053F-4C18-AC8A-9006C1F26CD6}">
    <filterColumn colId="0" hiddenButton="1"/>
    <filterColumn colId="1" hiddenButton="1"/>
  </autoFilter>
  <tableColumns count="2">
    <tableColumn id="1" xr3:uid="{5FF0775B-B0A0-4E61-9D40-9772098BCB35}" name="Show" dataDxfId="162"/>
    <tableColumn id="2" xr3:uid="{F8617EB8-8B36-4B85-91D7-A4CB212EDDCD}" name="Comment" dataDxfId="161"/>
  </tableColumns>
  <tableStyleInfo name="TableStyleLight9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34759257-5223-4B47-AF6A-707C741277EF}" name="Schedule17" displayName="Schedule17_2" ref="D2:H10" totalsRowShown="0" headerRowDxfId="160" dataDxfId="159">
  <autoFilter ref="D2:H10" xr:uid="{34759257-5223-4B47-AF6A-707C741277EF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A78097B-57BF-4B97-A99C-DA070366CE65}" name="ID" dataDxfId="158"/>
    <tableColumn id="2" xr3:uid="{97EC05B6-F6F6-48A9-A559-E7F5DB1838AD}" name="Task" dataDxfId="157"/>
    <tableColumn id="3" xr3:uid="{96D033D8-EA33-43EE-9684-31E36CAEA96C}" name="Mtg or Submittal" dataDxfId="156"/>
    <tableColumn id="4" xr3:uid="{14D5380D-0326-46C1-BAD6-35C3D22F98B3}" name="Review Start" dataDxfId="155"/>
    <tableColumn id="5" xr3:uid="{81E046CF-00DA-4115-AFEC-A8403C8C12FB}" name="End" dataDxfId="154"/>
  </tableColumns>
  <tableStyleInfo name="USMC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C1662FCB-BF6B-4FC0-9B5B-C63F4A42454E}" name="ProjectInfo16" displayName="ProjectInfo16" ref="A2:B12" totalsRowShown="0" dataDxfId="153">
  <autoFilter ref="A2:B12" xr:uid="{C1662FCB-BF6B-4FC0-9B5B-C63F4A42454E}">
    <filterColumn colId="0" hiddenButton="1"/>
    <filterColumn colId="1" hiddenButton="1"/>
  </autoFilter>
  <tableColumns count="2">
    <tableColumn id="1" xr3:uid="{29F1012A-9929-4813-B8F4-AA0801FD679A}" name="Parameter" dataDxfId="152"/>
    <tableColumn id="2" xr3:uid="{6930C16E-FC01-48D9-AD92-0ACE915D67C6}" name="Value" dataDxfId="151"/>
  </tableColumns>
  <tableStyleInfo name="TableStyleLight9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FBE6AD13-BA27-4EA5-9AFF-A915349011E6}" name="PDT16" displayName="PDT16_" ref="A15:B32" totalsRowShown="0">
  <autoFilter ref="A15:B32" xr:uid="{FBE6AD13-BA27-4EA5-9AFF-A915349011E6}">
    <filterColumn colId="0" hiddenButton="1"/>
    <filterColumn colId="1" hiddenButton="1"/>
  </autoFilter>
  <tableColumns count="2">
    <tableColumn id="1" xr3:uid="{653FEF9C-855A-4B68-9A1C-939F416D893F}" name="Role"/>
    <tableColumn id="2" xr3:uid="{C213A868-D4D7-495F-AA84-87CFEB389DF4}" name="Person"/>
  </tableColumns>
  <tableStyleInfo name="TableStyleDark11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D59AB191-47EE-48CF-8FED-E17F0197578B}" name="Comments16" displayName="Comments16" ref="A35:B37" totalsRowShown="0" dataDxfId="150">
  <autoFilter ref="A35:B37" xr:uid="{D59AB191-47EE-48CF-8FED-E17F0197578B}">
    <filterColumn colId="0" hiddenButton="1"/>
    <filterColumn colId="1" hiddenButton="1"/>
  </autoFilter>
  <tableColumns count="2">
    <tableColumn id="1" xr3:uid="{B95ED480-389C-43B0-83D0-2D00467A9CA0}" name="Show" dataDxfId="149"/>
    <tableColumn id="2" xr3:uid="{79DE0008-3180-4C8F-B910-FADB8E467483}" name="Comment" dataDxfId="148"/>
  </tableColumns>
  <tableStyleInfo name="TableStyleLight9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55549A0-9EDF-427E-B270-BCBA58F03578}" name="Schedule15" displayName="Schedule15" ref="D2:H10" totalsRowShown="0" headerRowDxfId="147" dataDxfId="146">
  <autoFilter ref="D2:H10" xr:uid="{D55549A0-9EDF-427E-B270-BCBA58F0357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2E280591-175C-4731-B238-61116FB0F4B3}" name="ID" dataDxfId="145"/>
    <tableColumn id="2" xr3:uid="{F6C3AF62-0241-4C46-ABC0-EAFBFF6370F0}" name="Task" dataDxfId="144"/>
    <tableColumn id="3" xr3:uid="{7ABC7367-C0EA-4FF8-AE34-32CBFBD62605}" name="Mtg or Submittal" dataDxfId="143"/>
    <tableColumn id="4" xr3:uid="{2A426F8D-F70E-43FC-8816-9CBCC77E8BA4}" name="Review Start" dataDxfId="142"/>
    <tableColumn id="5" xr3:uid="{5524147F-E4B8-49FD-94AD-594F625998C8}" name="End" dataDxfId="141"/>
  </tableColumns>
  <tableStyleInfo name="AF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C7E1F632-AADE-453E-AAC8-9DB0E887DD0B}" name="ProjectInfo18" displayName="ProjectInfo18" ref="A2:B12" totalsRowShown="0" dataDxfId="140">
  <autoFilter ref="A2:B12" xr:uid="{C7E1F632-AADE-453E-AAC8-9DB0E887DD0B}">
    <filterColumn colId="0" hiddenButton="1"/>
    <filterColumn colId="1" hiddenButton="1"/>
  </autoFilter>
  <tableColumns count="2">
    <tableColumn id="1" xr3:uid="{9DCEEE30-E596-4D62-954F-4BF02A39894D}" name="Parameter" dataDxfId="139"/>
    <tableColumn id="2" xr3:uid="{4735A3BC-4E1A-4638-947B-B9509EE89EDE}" name="Value" dataDxfId="138"/>
  </tableColumns>
  <tableStyleInfo name="TableStyleLight9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B4E10BBF-1107-4676-9292-C02F2B30FAB7}" name="PDT18" displayName="PDT18_" ref="A15:B33" totalsRowShown="0">
  <autoFilter ref="A15:B33" xr:uid="{B4E10BBF-1107-4676-9292-C02F2B30FAB7}">
    <filterColumn colId="0" hiddenButton="1"/>
    <filterColumn colId="1" hiddenButton="1"/>
  </autoFilter>
  <tableColumns count="2">
    <tableColumn id="1" xr3:uid="{DD006FAF-FFCB-4303-B17C-7045FC3F5453}" name="Role"/>
    <tableColumn id="2" xr3:uid="{33B9B1BE-D1D5-475A-B134-E4AE86408902}" name="Person"/>
  </tableColumns>
  <tableStyleInfo name="TableStyleDark11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9FDDFB9-3A3F-4F71-B583-56C5D2A68580}" name="Comments18" displayName="Comments18" ref="A36:B51" totalsRowShown="0" dataDxfId="137">
  <autoFilter ref="A36:B51" xr:uid="{09FDDFB9-3A3F-4F71-B583-56C5D2A68580}">
    <filterColumn colId="0" hiddenButton="1"/>
    <filterColumn colId="1" hiddenButton="1"/>
  </autoFilter>
  <tableColumns count="2">
    <tableColumn id="1" xr3:uid="{CA12A017-878E-4974-B823-989B755C9E93}" name="Show" dataDxfId="136"/>
    <tableColumn id="2" xr3:uid="{D3D43BD7-BEB4-4143-B3D4-C07F5437A90A}" name="Comment" dataDxfId="135"/>
  </tableColumns>
  <tableStyleInfo name="TableStyleLight9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B3676019-3BC4-4616-8BD3-F05B67013386}" name="Schedule17" displayName="Schedule17" ref="D2:H16" totalsRowShown="0" headerRowDxfId="134" dataDxfId="133">
  <autoFilter ref="D2:H16" xr:uid="{B3676019-3BC4-4616-8BD3-F05B6701338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D84FB95F-965C-4323-8185-5A9D82B4DFAF}" name="ID" dataDxfId="132"/>
    <tableColumn id="2" xr3:uid="{28283778-CD35-475C-BB04-871F690CF368}" name="Task" dataDxfId="131"/>
    <tableColumn id="3" xr3:uid="{C595B687-30B4-46EE-BAD5-A1DA31F35352}" name="Mtg or Submittal" dataDxfId="130"/>
    <tableColumn id="4" xr3:uid="{9D01A0CC-4200-46C2-9782-DB587B36163E}" name="Review Start" dataDxfId="129"/>
    <tableColumn id="5" xr3:uid="{2601077A-C1CD-4401-BBF1-C6DC2064EC72}" name="End" dataDxfId="128"/>
  </tableColumns>
  <tableStyleInfo name="Navy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E83CCF9A-6136-4D04-A463-4CAB0EE9C727}" name="ProjectInfo26" displayName="ProjectInfo26" ref="A2:B12" totalsRowShown="0" dataDxfId="127">
  <autoFilter ref="A2:B12" xr:uid="{E83CCF9A-6136-4D04-A463-4CAB0EE9C727}">
    <filterColumn colId="0" hiddenButton="1"/>
    <filterColumn colId="1" hiddenButton="1"/>
  </autoFilter>
  <tableColumns count="2">
    <tableColumn id="1" xr3:uid="{A7030B11-24DE-4145-A6DB-12D1AD1D093F}" name="Parameter" dataDxfId="126"/>
    <tableColumn id="2" xr3:uid="{4CB27A09-DFC1-4C17-A498-582304FCBC49}" name="Value" dataDxfId="125"/>
  </tableColumns>
  <tableStyleInfo name="TableStyleLight9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7B96D1DC-DFF2-4C10-BDF1-0F4CBAEEB978}" name="PDT26" displayName="PDT26_" ref="A15:B33" totalsRowShown="0">
  <autoFilter ref="A15:B33" xr:uid="{7B96D1DC-DFF2-4C10-BDF1-0F4CBAEEB978}">
    <filterColumn colId="0" hiddenButton="1"/>
    <filterColumn colId="1" hiddenButton="1"/>
  </autoFilter>
  <tableColumns count="2">
    <tableColumn id="1" xr3:uid="{D47BA050-8C0D-4332-9129-1721702BE773}" name="Role"/>
    <tableColumn id="2" xr3:uid="{9F1DFBB5-2535-446B-9D06-1EBD41A051EA}" name="Person"/>
  </tableColumns>
  <tableStyleInfo name="TableStyleDark11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7B3F9EDC-96E7-4B22-87BD-9EDA5CD6ADF8}" name="Comments26" displayName="Comments26" ref="A37:B43" totalsRowShown="0" dataDxfId="124">
  <autoFilter ref="A37:B43" xr:uid="{7B3F9EDC-96E7-4B22-87BD-9EDA5CD6ADF8}">
    <filterColumn colId="0" hiddenButton="1"/>
    <filterColumn colId="1" hiddenButton="1"/>
  </autoFilter>
  <tableColumns count="2">
    <tableColumn id="1" xr3:uid="{22DE7231-99FD-4679-B8B7-509CD0DF3B96}" name="Show" dataDxfId="123"/>
    <tableColumn id="2" xr3:uid="{62B68FE8-ED42-4D19-82D4-3A6C655986B2}" name="Comment" dataDxfId="122"/>
  </tableColumns>
  <tableStyleInfo name="TableStyleLight9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DF70CDC4-0355-4E9B-9522-30AA02A98318}" name="Schedule25" displayName="Schedule25" ref="D2:H17" totalsRowShown="0" headerRowDxfId="121" dataDxfId="120">
  <autoFilter ref="D2:H17" xr:uid="{DF70CDC4-0355-4E9B-9522-30AA02A98318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3BB956AD-6755-4AFB-A5B7-EB875E4F142D}" name="ID" dataDxfId="119"/>
    <tableColumn id="2" xr3:uid="{26C39F27-AE4E-4491-B33B-59406E1412DD}" name="Task" dataDxfId="118"/>
    <tableColumn id="3" xr3:uid="{C7EFB896-6852-49BC-A1DE-865D9D4BE8AC}" name="Mtg or Submittal" dataDxfId="117"/>
    <tableColumn id="4" xr3:uid="{5AB0BA32-5143-4DF9-A9CF-ED4F58EEFBC8}" name="Review Start" dataDxfId="116"/>
    <tableColumn id="5" xr3:uid="{2E0CA769-23D9-4EAB-AC36-AA03CD2CBBD4}" name="End" dataDxfId="115"/>
  </tableColumns>
  <tableStyleInfo name="Army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08873239-7488-45F9-8665-F2F8741252D3}" name="ProjectInfo17" displayName="ProjectInfo17" ref="A2:B13" totalsRowShown="0" dataDxfId="114">
  <autoFilter ref="A2:B13" xr:uid="{08873239-7488-45F9-8665-F2F8741252D3}">
    <filterColumn colId="0" hiddenButton="1"/>
    <filterColumn colId="1" hiddenButton="1"/>
  </autoFilter>
  <tableColumns count="2">
    <tableColumn id="1" xr3:uid="{F13B98A0-80AA-454B-88E8-ACDD5F3361E1}" name="Parameter" dataDxfId="113"/>
    <tableColumn id="2" xr3:uid="{2EC08C66-73CF-4C82-8655-52F9100A67E4}" name="Value" dataDxfId="112"/>
  </tableColumns>
  <tableStyleInfo name="TableStyleLight9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9F6434C2-25D3-48DE-A6E0-7EF41A35F11D}" name="PDT17" displayName="PDT17_" ref="A16:B35" totalsRowShown="0">
  <autoFilter ref="A16:B35" xr:uid="{9F6434C2-25D3-48DE-A6E0-7EF41A35F11D}">
    <filterColumn colId="0" hiddenButton="1"/>
    <filterColumn colId="1" hiddenButton="1"/>
  </autoFilter>
  <tableColumns count="2">
    <tableColumn id="1" xr3:uid="{8E902C49-09D6-4D2C-BCED-FA1BE1F83CD9}" name="Role"/>
    <tableColumn id="2" xr3:uid="{831A1B1C-2651-44C6-AE02-935A5211621A}" name="Person"/>
  </tableColumns>
  <tableStyleInfo name="TableStyleDark11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7D77E8FD-F1A9-4D1A-A94D-28C71DB1FDBE}" name="Comments17" displayName="Comments17" ref="A38:B51" totalsRowShown="0" dataDxfId="111">
  <autoFilter ref="A38:B51" xr:uid="{7D77E8FD-F1A9-4D1A-A94D-28C71DB1FDBE}">
    <filterColumn colId="0" hiddenButton="1"/>
    <filterColumn colId="1" hiddenButton="1"/>
  </autoFilter>
  <tableColumns count="2">
    <tableColumn id="1" xr3:uid="{19A26143-5551-4351-B2DA-B5B8CEEAC51F}" name="Show" dataDxfId="110"/>
    <tableColumn id="2" xr3:uid="{FD68E404-6317-4E70-A406-9504D56C7C54}" name="Comment" dataDxfId="109"/>
  </tableColumns>
  <tableStyleInfo name="TableStyleLight9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34F124FE-3582-4C7C-851B-DF2D64F95D2D}" name="Schedule16" displayName="Schedule16" ref="D2:G9" totalsRowShown="0" headerRowDxfId="108" dataDxfId="107">
  <autoFilter ref="D2:G9" xr:uid="{34F124FE-3582-4C7C-851B-DF2D64F95D2D}">
    <filterColumn colId="0" hiddenButton="1"/>
    <filterColumn colId="1" hiddenButton="1"/>
    <filterColumn colId="2" hiddenButton="1"/>
    <filterColumn colId="3" hiddenButton="1"/>
  </autoFilter>
  <tableColumns count="4">
    <tableColumn id="1" xr3:uid="{17BA83F9-104B-4A6D-8072-72ECD124D177}" name="ID" dataDxfId="106"/>
    <tableColumn id="2" xr3:uid="{9F3DAC42-9F9E-4018-A072-D46056830E94}" name="Task" dataDxfId="105"/>
    <tableColumn id="3" xr3:uid="{09D8F917-2F12-4BF8-A975-99A4CB23AD1B}" name="Start" dataDxfId="104"/>
    <tableColumn id="4" xr3:uid="{3647A94D-69B6-4383-A741-442FF9126A6F}" name="End" dataDxfId="103"/>
  </tableColumns>
  <tableStyleInfo name="AF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22064E-9ED5-404E-985B-19710AA3D7EB}" name="ProjectInfo172" displayName="ProjectInfo172" ref="A2:B12" totalsRowShown="0" dataDxfId="102">
  <autoFilter ref="A2:B12" xr:uid="{08873239-7488-45F9-8665-F2F8741252D3}">
    <filterColumn colId="0" hiddenButton="1"/>
    <filterColumn colId="1" hiddenButton="1"/>
  </autoFilter>
  <tableColumns count="2">
    <tableColumn id="1" xr3:uid="{1E84703C-5586-4F84-B8F2-DAD4740BE6BB}" name="Parameter" dataDxfId="101"/>
    <tableColumn id="2" xr3:uid="{5A4D14A7-6994-413F-B563-53E8905F236C}" name="Value" dataDxfId="100"/>
  </tableColumns>
  <tableStyleInfo name="TableStyleLight9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C1F870-409D-4654-8B3C-00119ED27562}" name="PDT17_3" displayName="PDT17_3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4E372095-9CA9-4D81-B7C5-4C081368CE95}" name="Role"/>
    <tableColumn id="2" xr3:uid="{1BDCBE89-47D6-450D-9B23-0072E9AC6761}" name="Person"/>
  </tableColumns>
  <tableStyleInfo name="TableStyleDark11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22E4AA37-E269-4D4F-825B-2B4142E0CAA6}" name="Comments1733" displayName="Comments1733" ref="A35:B39" totalsRowShown="0" dataDxfId="99">
  <autoFilter ref="A35:B39" xr:uid="{7D77E8FD-F1A9-4D1A-A94D-28C71DB1FDBE}">
    <filterColumn colId="0" hiddenButton="1"/>
    <filterColumn colId="1" hiddenButton="1"/>
  </autoFilter>
  <tableColumns count="2">
    <tableColumn id="1" xr3:uid="{28706D4B-E2B5-405B-8D0B-F3E35A028AFC}" name="Show" dataDxfId="98"/>
    <tableColumn id="2" xr3:uid="{5797CDAD-1306-4722-BFBA-EE217A9C0746}" name="Comment" dataDxfId="97"/>
  </tableColumns>
  <tableStyleInfo name="TableStyleLight9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19A463E9-6E21-4BBE-B3AC-F1A33B271BA3}" name="Schedule1656" displayName="Schedule1656" ref="D2:H17" totalsRowShown="0" headerRowDxfId="96" dataDxfId="95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3E45E80-9CB1-47F9-94FE-783314D797F9}" name="ID" dataDxfId="94"/>
    <tableColumn id="2" xr3:uid="{CBB4D81C-8814-4F52-A947-42AB295BF2CE}" name="Task" dataDxfId="93"/>
    <tableColumn id="3" xr3:uid="{8F4EF13B-7E35-40F9-840A-DD506409EF75}" name="Mtg or Submittal" dataDxfId="92"/>
    <tableColumn id="4" xr3:uid="{7AF832B7-A7E1-401E-ABAE-D4304D1D3A5E}" name="Review Start" dataDxfId="91"/>
    <tableColumn id="5" xr3:uid="{32CD4155-81F1-492F-81B7-718AD631B670}" name="End" dataDxfId="90"/>
  </tableColumns>
  <tableStyleInfo name="AF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63C2A92F-A3CB-48C0-9C11-61EBBB29BA19}" name="ProjectInfo17281" displayName="ProjectInfo17281" ref="A2:B12" totalsRowShown="0" dataDxfId="89">
  <autoFilter ref="A2:B12" xr:uid="{08873239-7488-45F9-8665-F2F8741252D3}">
    <filterColumn colId="0" hiddenButton="1"/>
    <filterColumn colId="1" hiddenButton="1"/>
  </autoFilter>
  <tableColumns count="2">
    <tableColumn id="1" xr3:uid="{FCCDCEC7-3FDE-4429-809E-D0D69BDE7CED}" name="Parameter" dataDxfId="88"/>
    <tableColumn id="2" xr3:uid="{A2AF74B7-02B5-4147-9F67-E13F382D88CE}" name="Value" dataDxfId="87"/>
  </tableColumns>
  <tableStyleInfo name="TableStyleLight9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C82FCEE6-B8C8-4608-B51E-76C04599F583}" name="PDT17_382" displayName="PDT17_382" ref="A15:B32" totalsRowShown="0">
  <autoFilter ref="A15:B32" xr:uid="{9F6434C2-25D3-48DE-A6E0-7EF41A35F11D}">
    <filterColumn colId="0" hiddenButton="1"/>
    <filterColumn colId="1" hiddenButton="1"/>
  </autoFilter>
  <tableColumns count="2">
    <tableColumn id="1" xr3:uid="{9D0741F4-B1EA-486E-8393-B41A7AC890F1}" name="Role"/>
    <tableColumn id="2" xr3:uid="{BB0BD290-8A58-48C5-8896-89F59A1FA347}" name="Person"/>
  </tableColumns>
  <tableStyleInfo name="TableStyleDark11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0A7378A-21A9-467E-BACB-396164C9BC4E}" name="Comments173383" displayName="Comments173383" ref="A35:B39" totalsRowShown="0" dataDxfId="86">
  <autoFilter ref="A35:B39" xr:uid="{7D77E8FD-F1A9-4D1A-A94D-28C71DB1FDBE}">
    <filterColumn colId="0" hiddenButton="1"/>
    <filterColumn colId="1" hiddenButton="1"/>
  </autoFilter>
  <tableColumns count="2">
    <tableColumn id="1" xr3:uid="{A7B8C69C-4906-4C7A-BFE4-7130CD9A5D90}" name="Show" dataDxfId="85"/>
    <tableColumn id="2" xr3:uid="{83833CD5-7F2B-4C3F-AE8E-5000E5679573}" name="Comment" dataDxfId="84"/>
  </tableColumns>
  <tableStyleInfo name="TableStyleLight9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6918983-29EE-475D-A9E5-C92AF0BA863F}" name="Schedule165684" displayName="Schedule165684" ref="D2:H17" totalsRowShown="0" headerRowDxfId="83" dataDxfId="82">
  <autoFilter ref="D2:H17" xr:uid="{34F124FE-3582-4C7C-851B-DF2D64F95D2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467582BB-65C7-454F-B0F6-D280429860E2}" name="ID" dataDxfId="81"/>
    <tableColumn id="2" xr3:uid="{FD8741E0-2C22-4A27-A355-81A0D62A4FDB}" name="Task" dataDxfId="80"/>
    <tableColumn id="3" xr3:uid="{36B76ACA-F5ED-449D-826D-6F48296FD502}" name="Mtg or Submittal" dataDxfId="79"/>
    <tableColumn id="4" xr3:uid="{F810F3BD-A635-407B-95E5-DA1BF32B1704}" name="Review Start" dataDxfId="78"/>
    <tableColumn id="5" xr3:uid="{186225DD-3F0D-47AC-BFD1-96504A7DAEE8}" name="End" dataDxfId="77"/>
  </tableColumns>
  <tableStyleInfo name="AF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1D61E3D-2C80-4086-9A4D-D97F6D3589E8}" name="ProjectInfo23" displayName="ProjectInfo23" ref="A2:B12" totalsRowShown="0" dataDxfId="76">
  <autoFilter ref="A2:B12" xr:uid="{E1D61E3D-2C80-4086-9A4D-D97F6D3589E8}">
    <filterColumn colId="0" hiddenButton="1"/>
    <filterColumn colId="1" hiddenButton="1"/>
  </autoFilter>
  <tableColumns count="2">
    <tableColumn id="1" xr3:uid="{7FDD96D2-C33B-4750-8DE4-1AD636BF6771}" name="Parameter" dataDxfId="75"/>
    <tableColumn id="2" xr3:uid="{95BE7564-9923-486E-8DA1-307200065FF4}" name="Value" dataDxfId="74"/>
  </tableColumns>
  <tableStyleInfo name="TableStyleLight9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224C2BB0-C217-48AB-830D-7CEE423E78BF}" name="PDT23" displayName="PDT23_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94768D1-BAE5-4C76-96D5-89B640E7E425}" name="Role"/>
    <tableColumn id="2" xr3:uid="{B37E78E8-268B-4D87-89E7-1CEF69A6EBC4}" name="Person"/>
  </tableColumns>
  <tableStyleInfo name="TableStyleDark11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5C5B67C-2C95-498E-8122-1E3AE6E167DB}" name="Comments23" displayName="Comments23" ref="A37:B39" totalsRowShown="0" dataDxfId="73">
  <autoFilter ref="A37:B39" xr:uid="{C5C5B67C-2C95-498E-8122-1E3AE6E167DB}">
    <filterColumn colId="0" hiddenButton="1"/>
    <filterColumn colId="1" hiddenButton="1"/>
  </autoFilter>
  <tableColumns count="2">
    <tableColumn id="1" xr3:uid="{53FFEB90-380E-481C-A4F1-608660258632}" name="Show" dataDxfId="72"/>
    <tableColumn id="2" xr3:uid="{C88F01E7-4538-44A7-95C7-F59A4683972E}" name="Comment" dataDxfId="71"/>
  </tableColumns>
  <tableStyleInfo name="TableStyleLight9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12016FF4-FFD2-4D7A-A9E7-EBD8B82C0A90}" name="Schedule20" displayName="Schedule20" ref="D2:H5" totalsRowShown="0" headerRowDxfId="70" dataDxfId="69">
  <autoFilter ref="D2:H5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650A5EA2-6789-476B-9E23-E27D389E57BE}" name="ID" dataDxfId="68"/>
    <tableColumn id="2" xr3:uid="{6A44B8C0-B578-4846-9666-6D1E4C7197B2}" name="Task" dataDxfId="67"/>
    <tableColumn id="3" xr3:uid="{4011A3B3-8EFF-4F2A-9394-471781008144}" name="Mtg or Submittal" dataDxfId="66"/>
    <tableColumn id="4" xr3:uid="{D26BD0D9-EE22-4234-ABBE-7EE610D5944F}" name="Review Start" dataDxfId="65"/>
    <tableColumn id="5" xr3:uid="{A452F57D-96B0-4EC9-8709-EAECB0B33C42}" name="End" dataDxfId="64"/>
  </tableColumns>
  <tableStyleInfo name="USMC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D5EF694E-01DD-491B-80F4-802D16033279}" name="ProjectInfo23117" displayName="ProjectInfo23117" ref="A2:B12" totalsRowShown="0" dataDxfId="63">
  <autoFilter ref="A2:B12" xr:uid="{E1D61E3D-2C80-4086-9A4D-D97F6D3589E8}">
    <filterColumn colId="0" hiddenButton="1"/>
    <filterColumn colId="1" hiddenButton="1"/>
  </autoFilter>
  <tableColumns count="2">
    <tableColumn id="1" xr3:uid="{C8A82A41-093F-4C66-9C5D-091EA8274DBE}" name="Parameter" dataDxfId="62"/>
    <tableColumn id="2" xr3:uid="{9A5473BF-4E57-45CD-A829-9106BDA26184}" name="Value" dataDxfId="61"/>
  </tableColumns>
  <tableStyleInfo name="TableStyleLight9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E0C9181A-20B1-4EE3-AD93-599244F98840}" name="PDT23_118" displayName="PDT23_118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B108B90C-319B-4DF2-B0B3-6114A6F9C797}" name="Role"/>
    <tableColumn id="2" xr3:uid="{2689ED75-1B54-4F16-9F6C-72DC5C70392F}" name="Person"/>
  </tableColumns>
  <tableStyleInfo name="TableStyleDark11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29B26A70-0AF3-4BB4-B3BD-966C7FB2FA7C}" name="Comments23119" displayName="Comments23119" ref="A37:B39" totalsRowShown="0" dataDxfId="60">
  <autoFilter ref="A37:B39" xr:uid="{C5C5B67C-2C95-498E-8122-1E3AE6E167DB}">
    <filterColumn colId="0" hiddenButton="1"/>
    <filterColumn colId="1" hiddenButton="1"/>
  </autoFilter>
  <tableColumns count="2">
    <tableColumn id="1" xr3:uid="{BCA0FA35-1F0A-47F6-9233-625A154169B4}" name="Show" dataDxfId="59"/>
    <tableColumn id="2" xr3:uid="{58F6A0C7-2204-4EC5-AC1B-AAACB3E288E2}" name="Comment" dataDxfId="58"/>
  </tableColumns>
  <tableStyleInfo name="TableStyleLight9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0E7BD663-639B-4AF4-B2A0-4D0BB36F17D7}" name="Schedule20120" displayName="Schedule20120" ref="D2:H18" totalsRowShown="0" headerRowDxfId="57" dataDxfId="56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4D21679-784E-4CE5-ADB6-106FE7863F42}" name="ID" dataDxfId="55"/>
    <tableColumn id="2" xr3:uid="{1A6AC88A-3F31-4586-B85C-367B910B4218}" name="Task" dataDxfId="54"/>
    <tableColumn id="3" xr3:uid="{045349BA-E02F-495A-B444-5693F9CEDEDD}" name="Mtg or Submittal" dataDxfId="53"/>
    <tableColumn id="4" xr3:uid="{D067C9C1-136F-4BE0-96B2-5F59AFFD4C76}" name="Review Start" dataDxfId="52"/>
    <tableColumn id="5" xr3:uid="{BE90D27F-18CE-485B-A89C-D5F687233AD0}" name="End" dataDxfId="51"/>
  </tableColumns>
  <tableStyleInfo name="USMC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48A917F-F19D-44D4-8F0A-E7E3569A253F}" name="ProjectInfo23117121" displayName="ProjectInfo23117121" ref="A2:B12" totalsRowShown="0" dataDxfId="50">
  <autoFilter ref="A2:B12" xr:uid="{E1D61E3D-2C80-4086-9A4D-D97F6D3589E8}">
    <filterColumn colId="0" hiddenButton="1"/>
    <filterColumn colId="1" hiddenButton="1"/>
  </autoFilter>
  <tableColumns count="2">
    <tableColumn id="1" xr3:uid="{16F5308A-E6F7-4A74-81BC-7C89043201CD}" name="Parameter" dataDxfId="49"/>
    <tableColumn id="2" xr3:uid="{C3C47C0D-6A4F-4E2B-AABB-0AC99BA99025}" name="Value" dataDxfId="48"/>
  </tableColumns>
  <tableStyleInfo name="TableStyleLight9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90221D4C-7DDD-4689-B021-43E8FEFE1E98}" name="PDT23_118122" displayName="PDT23_118122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E3DD4B75-9BC5-4894-AF6A-E828CE060BC9}" name="Role"/>
    <tableColumn id="2" xr3:uid="{A22C3997-0EC1-4CC2-9C74-92DC6B5F9A71}" name="Person"/>
  </tableColumns>
  <tableStyleInfo name="TableStyleDark11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EE8EF708-01C1-44EA-9DC5-43AD889349A9}" name="Comments23119123" displayName="Comments23119123" ref="A37:B39" totalsRowShown="0" dataDxfId="47">
  <autoFilter ref="A37:B39" xr:uid="{C5C5B67C-2C95-498E-8122-1E3AE6E167DB}">
    <filterColumn colId="0" hiddenButton="1"/>
    <filterColumn colId="1" hiddenButton="1"/>
  </autoFilter>
  <tableColumns count="2">
    <tableColumn id="1" xr3:uid="{6DA8D312-C9BF-44BA-B99C-61B0B6E4D45F}" name="Show" dataDxfId="46"/>
    <tableColumn id="2" xr3:uid="{243AD028-E792-41EF-88AB-D3940D86324B}" name="Comment" dataDxfId="45"/>
  </tableColumns>
  <tableStyleInfo name="TableStyleLight9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D2E8E94F-5208-4FA8-B185-E424EF4531A7}" name="Schedule20120124" displayName="Schedule20120124" ref="D2:H18" totalsRowShown="0" headerRowDxfId="44" dataDxfId="43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5D2734CD-D91F-40B0-94B5-4CFFA8993378}" name="ID" dataDxfId="42"/>
    <tableColumn id="2" xr3:uid="{37519FEB-1BD8-4F49-8B02-DA3E4738FCE0}" name="Task" dataDxfId="41"/>
    <tableColumn id="3" xr3:uid="{446F7BF8-BBCC-4754-BA7C-002561A6AB6B}" name="Mtg or Submittal" dataDxfId="40"/>
    <tableColumn id="4" xr3:uid="{133A8859-43EA-4C8D-9107-E01CABD2AB73}" name="Review Start" dataDxfId="39"/>
    <tableColumn id="5" xr3:uid="{5BADE076-2604-4D5B-BA0D-9AFA23E69FAE}" name="End" dataDxfId="38"/>
  </tableColumns>
  <tableStyleInfo name="USMC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D712E72B-5297-4750-9AC0-CC9145466EE5}" name="ProjectInfo23117121125" displayName="ProjectInfo23117121125" ref="A2:B12" totalsRowShown="0" dataDxfId="37">
  <autoFilter ref="A2:B12" xr:uid="{E1D61E3D-2C80-4086-9A4D-D97F6D3589E8}">
    <filterColumn colId="0" hiddenButton="1"/>
    <filterColumn colId="1" hiddenButton="1"/>
  </autoFilter>
  <tableColumns count="2">
    <tableColumn id="1" xr3:uid="{AAE303EE-8CD2-4959-9EC5-05C88A93AA6A}" name="Parameter" dataDxfId="36"/>
    <tableColumn id="2" xr3:uid="{6E922990-C9B1-43BC-87FA-2DDA12924AB0}" name="Value" dataDxfId="35"/>
  </tableColumns>
  <tableStyleInfo name="TableStyleLight9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B4EA9F4F-8672-4EB1-B91E-5374388DFF17}" name="PDT23_118122126" displayName="PDT23_118122126" ref="A15:B34" totalsRowShown="0">
  <autoFilter ref="A15:B34" xr:uid="{224C2BB0-C217-48AB-830D-7CEE423E78BF}">
    <filterColumn colId="0" hiddenButton="1"/>
    <filterColumn colId="1" hiddenButton="1"/>
  </autoFilter>
  <tableColumns count="2">
    <tableColumn id="1" xr3:uid="{9CAAC1F2-FF3F-421C-B8C8-DC8B1EEFDA08}" name="Role"/>
    <tableColumn id="2" xr3:uid="{50927089-4B44-4761-BF73-AF6812687BE3}" name="Person"/>
  </tableColumns>
  <tableStyleInfo name="TableStyleDark11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D50F662D-CB90-4442-96E7-26EDB2EDE25A}" name="Comments23119123127" displayName="Comments23119123127" ref="A37:B38" totalsRowShown="0" dataDxfId="34">
  <autoFilter ref="A37:B38" xr:uid="{C5C5B67C-2C95-498E-8122-1E3AE6E167DB}">
    <filterColumn colId="0" hiddenButton="1"/>
    <filterColumn colId="1" hiddenButton="1"/>
  </autoFilter>
  <tableColumns count="2">
    <tableColumn id="1" xr3:uid="{4D83122D-F2D0-445B-89B6-50DBD58AC2DC}" name="Show" dataDxfId="33"/>
    <tableColumn id="2" xr3:uid="{8801D04A-4BAE-4194-9A2A-4FB3A96BF9ED}" name="Comment" dataDxfId="32"/>
  </tableColumns>
  <tableStyleInfo name="TableStyleLight9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645E726B-CAB3-4C3F-8DF2-3A10849B9B08}" name="Schedule20120124128" displayName="Schedule20120124128" ref="D2:H18" totalsRowShown="0" headerRowDxfId="31" dataDxfId="30">
  <autoFilter ref="D2:H18" xr:uid="{12016FF4-FFD2-4D7A-A9E7-EBD8B82C0A9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1B222A1-EBC7-41B7-AB05-42BCBD71C077}" name="ID" dataDxfId="29"/>
    <tableColumn id="2" xr3:uid="{4A638C24-C7E0-4501-9158-1CBA71F0B888}" name="Task" dataDxfId="28"/>
    <tableColumn id="3" xr3:uid="{B8C8EBDA-FA8C-4F5B-A04E-4E6AEA3D21BC}" name="Mtg or Submittal" dataDxfId="27"/>
    <tableColumn id="4" xr3:uid="{17031E5F-3E25-42B6-857A-6FEF37C6CADD}" name="Review Start" dataDxfId="26"/>
    <tableColumn id="5" xr3:uid="{8F7B96F5-F22D-4438-B2B4-CFE599025FF6}" name="End" dataDxfId="25"/>
  </tableColumns>
  <tableStyleInfo name="USMC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34F44F3D-EB7E-41A7-96AE-5D7425ADE722}" name="ProjectInfo25" displayName="ProjectInfo25" ref="A2:B13" totalsRowShown="0" dataDxfId="24">
  <autoFilter ref="A2:B13" xr:uid="{34F44F3D-EB7E-41A7-96AE-5D7425ADE722}">
    <filterColumn colId="0" hiddenButton="1"/>
    <filterColumn colId="1" hiddenButton="1"/>
  </autoFilter>
  <tableColumns count="2">
    <tableColumn id="1" xr3:uid="{C7A7F555-290D-4918-9BA3-8559C8F96FC0}" name="Parameter" dataDxfId="23"/>
    <tableColumn id="2" xr3:uid="{2FF27C68-6C91-4F76-A1B8-68CC4413E2BB}" name="Value" dataDxfId="22"/>
  </tableColumns>
  <tableStyleInfo name="TableStyleLight9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656987B4-3D5D-4B59-AB79-744CBBB27514}" name="PDT25" displayName="PDT25_" ref="A16:B35" totalsRowShown="0">
  <autoFilter ref="A16:B35" xr:uid="{656987B4-3D5D-4B59-AB79-744CBBB27514}">
    <filterColumn colId="0" hiddenButton="1"/>
    <filterColumn colId="1" hiddenButton="1"/>
  </autoFilter>
  <tableColumns count="2">
    <tableColumn id="1" xr3:uid="{A2914089-9693-4192-831C-63BF8286D45D}" name="Role"/>
    <tableColumn id="2" xr3:uid="{6FD2E915-F74F-4BFB-9DDC-43FE96441126}" name="Person"/>
  </tableColumns>
  <tableStyleInfo name="TableStyleDark11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5AB1E3D8-2C62-4E5A-8A81-9C1E2D064DDF}" name="Comments25" displayName="Comments25" ref="A38:B49" totalsRowShown="0" dataDxfId="21">
  <autoFilter ref="A38:B49" xr:uid="{5AB1E3D8-2C62-4E5A-8A81-9C1E2D064DDF}">
    <filterColumn colId="0" hiddenButton="1"/>
    <filterColumn colId="1" hiddenButton="1"/>
  </autoFilter>
  <tableColumns count="2">
    <tableColumn id="1" xr3:uid="{8F07DF87-0E6C-4D6B-A720-E352F12D2B8B}" name="Show" dataDxfId="20"/>
    <tableColumn id="2" xr3:uid="{0DCFEE23-A397-4BF5-BE94-9D41D31CCC25}" name="Comment" dataDxfId="19"/>
  </tableColumns>
  <tableStyleInfo name="TableStyleLight9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49EDFA14-FE8D-44F5-8CCB-B20D620A4696}" name="Schedule25" displayName="Schedule25_1" ref="D2:H18" totalsRowShown="0" headerRowDxfId="18" dataDxfId="17">
  <autoFilter ref="D2:H18" xr:uid="{49EDFA14-FE8D-44F5-8CCB-B20D620A4696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7017B479-CD3E-4A66-8219-8F57945F26CB}" name="ID" dataDxfId="16"/>
    <tableColumn id="2" xr3:uid="{84244A62-B38A-4B24-91F0-3E33C1762732}" name="Task" dataDxfId="15"/>
    <tableColumn id="3" xr3:uid="{A4EDB6B9-379E-44A0-AF77-BFBB7D133853}" name="Mtg or Submittal" dataDxfId="14"/>
    <tableColumn id="4" xr3:uid="{26215288-4536-4B13-92AF-46432DA115A5}" name="Review Start" dataDxfId="13"/>
    <tableColumn id="5" xr3:uid="{22B7FB6D-1056-466E-A40F-0550B2A3DE22}" name="End" dataDxfId="12"/>
  </tableColumns>
  <tableStyleInfo name="AF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54898E7-606E-4416-853C-4D529A52A856}" name="ProjectInfo28" displayName="ProjectInfo28" ref="A2:B13" totalsRowShown="0" dataDxfId="11">
  <autoFilter ref="A2:B13" xr:uid="{F54898E7-606E-4416-853C-4D529A52A856}">
    <filterColumn colId="0" hiddenButton="1"/>
    <filterColumn colId="1" hiddenButton="1"/>
  </autoFilter>
  <tableColumns count="2">
    <tableColumn id="1" xr3:uid="{C0F4DC25-BC9A-4FDF-B9A9-4CA33EBED1EA}" name="Parameter" dataDxfId="10"/>
    <tableColumn id="2" xr3:uid="{943DA271-7D58-4FBC-84B3-A8FF052AA289}" name="Value" dataDxfId="9"/>
  </tableColumns>
  <tableStyleInfo name="TableStyleLight9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0DAFB26-2B24-4258-9556-7A1D76CA701B}" name="PDT28" displayName="PDT28_" ref="A16:B35" totalsRowShown="0">
  <autoFilter ref="A16:B35" xr:uid="{E0DAFB26-2B24-4258-9556-7A1D76CA701B}">
    <filterColumn colId="0" hiddenButton="1"/>
    <filterColumn colId="1" hiddenButton="1"/>
  </autoFilter>
  <tableColumns count="2">
    <tableColumn id="1" xr3:uid="{A5164F9A-311C-4933-ABB7-5BCC99E4C61F}" name="Role"/>
    <tableColumn id="2" xr3:uid="{BAB237E0-6480-4634-B3CC-D4152E4243D6}" name="Person"/>
  </tableColumns>
  <tableStyleInfo name="TableStyleDark11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C9213BE7-55E7-49F2-96A5-6EBE82CB576D}" name="Comments28" displayName="Comments28" ref="A38:B47" totalsRowShown="0" dataDxfId="8">
  <autoFilter ref="A38:B47" xr:uid="{C9213BE7-55E7-49F2-96A5-6EBE82CB576D}">
    <filterColumn colId="0" hiddenButton="1"/>
    <filterColumn colId="1" hiddenButton="1"/>
  </autoFilter>
  <tableColumns count="2">
    <tableColumn id="1" xr3:uid="{07999952-BDF9-4825-9FD8-81EFF7579939}" name="Show" dataDxfId="7"/>
    <tableColumn id="2" xr3:uid="{B086E560-0FB3-4FE0-8795-BECDBF10616F}" name="Comment" dataDxfId="6"/>
  </tableColumns>
  <tableStyleInfo name="TableStyleLight9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535DF85A-1D59-45EE-9BAD-F9CEA5510306}" name="Schedule27" displayName="Schedule27" ref="D2:G12" totalsRowShown="0" headerRowDxfId="5" dataDxfId="4">
  <autoFilter ref="D2:G12" xr:uid="{535DF85A-1D59-45EE-9BAD-F9CEA5510306}">
    <filterColumn colId="0" hiddenButton="1"/>
    <filterColumn colId="1" hiddenButton="1"/>
    <filterColumn colId="2" hiddenButton="1"/>
    <filterColumn colId="3" hiddenButton="1"/>
  </autoFilter>
  <tableColumns count="4">
    <tableColumn id="1" xr3:uid="{88EB5E8A-44FD-4EFC-ADE2-06B752A129FC}" name="ID" dataDxfId="3"/>
    <tableColumn id="2" xr3:uid="{645CC4EF-36E1-46AE-AF00-18CCF807EC35}" name="Task" dataDxfId="2"/>
    <tableColumn id="3" xr3:uid="{3B8D570A-AEDE-4C7F-8921-B2CAFA2E4486}" name="Start" dataDxfId="1"/>
    <tableColumn id="4" xr3:uid="{1DA880E0-1541-4084-BA1A-2A03395D36AE}" name="End" dataDxfId="0"/>
  </tableColumns>
  <tableStyleInfo name="AF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5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7.xml"/><Relationship Id="rId5" Type="http://schemas.openxmlformats.org/officeDocument/2006/relationships/table" Target="../tables/table19.xml"/><Relationship Id="rId4" Type="http://schemas.openxmlformats.org/officeDocument/2006/relationships/table" Target="../tables/table1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drawing" Target="../drawings/drawing9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drawing" Target="../drawings/drawing10.xml"/><Relationship Id="rId5" Type="http://schemas.openxmlformats.org/officeDocument/2006/relationships/table" Target="../tables/table31.xml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9.xml"/><Relationship Id="rId5" Type="http://schemas.openxmlformats.org/officeDocument/2006/relationships/table" Target="../tables/table38.xml"/><Relationship Id="rId4" Type="http://schemas.openxmlformats.org/officeDocument/2006/relationships/table" Target="../tables/table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3.xml"/><Relationship Id="rId5" Type="http://schemas.openxmlformats.org/officeDocument/2006/relationships/table" Target="../tables/table42.xml"/><Relationship Id="rId4" Type="http://schemas.openxmlformats.org/officeDocument/2006/relationships/table" Target="../tables/table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4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7.xml"/><Relationship Id="rId5" Type="http://schemas.openxmlformats.org/officeDocument/2006/relationships/table" Target="../tables/table46.xml"/><Relationship Id="rId4" Type="http://schemas.openxmlformats.org/officeDocument/2006/relationships/table" Target="../tables/table4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9.xml"/><Relationship Id="rId2" Type="http://schemas.openxmlformats.org/officeDocument/2006/relationships/table" Target="../tables/table48.xml"/><Relationship Id="rId1" Type="http://schemas.openxmlformats.org/officeDocument/2006/relationships/drawing" Target="../drawings/drawing15.xml"/><Relationship Id="rId5" Type="http://schemas.openxmlformats.org/officeDocument/2006/relationships/table" Target="../tables/table51.xml"/><Relationship Id="rId4" Type="http://schemas.openxmlformats.org/officeDocument/2006/relationships/table" Target="../tables/table5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3.xml"/><Relationship Id="rId2" Type="http://schemas.openxmlformats.org/officeDocument/2006/relationships/table" Target="../tables/table52.xml"/><Relationship Id="rId1" Type="http://schemas.openxmlformats.org/officeDocument/2006/relationships/drawing" Target="../drawings/drawing16.xml"/><Relationship Id="rId5" Type="http://schemas.openxmlformats.org/officeDocument/2006/relationships/table" Target="../tables/table55.xml"/><Relationship Id="rId4" Type="http://schemas.openxmlformats.org/officeDocument/2006/relationships/table" Target="../tables/table5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7.xml"/><Relationship Id="rId2" Type="http://schemas.openxmlformats.org/officeDocument/2006/relationships/table" Target="../tables/table56.xml"/><Relationship Id="rId1" Type="http://schemas.openxmlformats.org/officeDocument/2006/relationships/drawing" Target="../drawings/drawing17.xml"/><Relationship Id="rId5" Type="http://schemas.openxmlformats.org/officeDocument/2006/relationships/table" Target="../tables/table59.xml"/><Relationship Id="rId4" Type="http://schemas.openxmlformats.org/officeDocument/2006/relationships/table" Target="../tables/table5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drawing" Target="../drawings/drawing18.xml"/><Relationship Id="rId5" Type="http://schemas.openxmlformats.org/officeDocument/2006/relationships/table" Target="../tables/table63.xml"/><Relationship Id="rId4" Type="http://schemas.openxmlformats.org/officeDocument/2006/relationships/table" Target="../tables/table6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67.xml"/><Relationship Id="rId5" Type="http://schemas.openxmlformats.org/officeDocument/2006/relationships/table" Target="../tables/table66.xml"/><Relationship Id="rId4" Type="http://schemas.openxmlformats.org/officeDocument/2006/relationships/table" Target="../tables/table6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8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71.xml"/><Relationship Id="rId5" Type="http://schemas.openxmlformats.org/officeDocument/2006/relationships/table" Target="../tables/table70.xml"/><Relationship Id="rId4" Type="http://schemas.openxmlformats.org/officeDocument/2006/relationships/table" Target="../tables/table6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3.xml"/><Relationship Id="rId2" Type="http://schemas.openxmlformats.org/officeDocument/2006/relationships/table" Target="../tables/table72.xml"/><Relationship Id="rId1" Type="http://schemas.openxmlformats.org/officeDocument/2006/relationships/drawing" Target="../drawings/drawing21.xml"/><Relationship Id="rId5" Type="http://schemas.openxmlformats.org/officeDocument/2006/relationships/table" Target="../tables/table75.xml"/><Relationship Id="rId4" Type="http://schemas.openxmlformats.org/officeDocument/2006/relationships/table" Target="../tables/table74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6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9.xml"/><Relationship Id="rId5" Type="http://schemas.openxmlformats.org/officeDocument/2006/relationships/table" Target="../tables/table78.xml"/><Relationship Id="rId4" Type="http://schemas.openxmlformats.org/officeDocument/2006/relationships/table" Target="../tables/table7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3.xml"/><Relationship Id="rId5" Type="http://schemas.openxmlformats.org/officeDocument/2006/relationships/table" Target="../tables/table82.xml"/><Relationship Id="rId4" Type="http://schemas.openxmlformats.org/officeDocument/2006/relationships/table" Target="../tables/table8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87.xml"/><Relationship Id="rId5" Type="http://schemas.openxmlformats.org/officeDocument/2006/relationships/table" Target="../tables/table86.xml"/><Relationship Id="rId4" Type="http://schemas.openxmlformats.org/officeDocument/2006/relationships/table" Target="../tables/table8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9.xml"/><Relationship Id="rId2" Type="http://schemas.openxmlformats.org/officeDocument/2006/relationships/table" Target="../tables/table88.xml"/><Relationship Id="rId1" Type="http://schemas.openxmlformats.org/officeDocument/2006/relationships/drawing" Target="../drawings/drawing25.xml"/><Relationship Id="rId5" Type="http://schemas.openxmlformats.org/officeDocument/2006/relationships/table" Target="../tables/table91.xml"/><Relationship Id="rId4" Type="http://schemas.openxmlformats.org/officeDocument/2006/relationships/table" Target="../tables/table9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95.xml"/><Relationship Id="rId5" Type="http://schemas.openxmlformats.org/officeDocument/2006/relationships/table" Target="../tables/table94.xml"/><Relationship Id="rId4" Type="http://schemas.openxmlformats.org/officeDocument/2006/relationships/table" Target="../tables/table9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7.xml"/><Relationship Id="rId2" Type="http://schemas.openxmlformats.org/officeDocument/2006/relationships/table" Target="../tables/table96.xml"/><Relationship Id="rId1" Type="http://schemas.openxmlformats.org/officeDocument/2006/relationships/drawing" Target="../drawings/drawing27.xml"/><Relationship Id="rId5" Type="http://schemas.openxmlformats.org/officeDocument/2006/relationships/table" Target="../tables/table99.xml"/><Relationship Id="rId4" Type="http://schemas.openxmlformats.org/officeDocument/2006/relationships/table" Target="../tables/table9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1.xml"/><Relationship Id="rId2" Type="http://schemas.openxmlformats.org/officeDocument/2006/relationships/table" Target="../tables/table100.xml"/><Relationship Id="rId1" Type="http://schemas.openxmlformats.org/officeDocument/2006/relationships/drawing" Target="../drawings/drawing28.xml"/><Relationship Id="rId5" Type="http://schemas.openxmlformats.org/officeDocument/2006/relationships/table" Target="../tables/table103.xml"/><Relationship Id="rId4" Type="http://schemas.openxmlformats.org/officeDocument/2006/relationships/table" Target="../tables/table10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5.xml"/><Relationship Id="rId2" Type="http://schemas.openxmlformats.org/officeDocument/2006/relationships/table" Target="../tables/table104.xml"/><Relationship Id="rId1" Type="http://schemas.openxmlformats.org/officeDocument/2006/relationships/drawing" Target="../drawings/drawing29.xml"/><Relationship Id="rId5" Type="http://schemas.openxmlformats.org/officeDocument/2006/relationships/table" Target="../tables/table107.xml"/><Relationship Id="rId4" Type="http://schemas.openxmlformats.org/officeDocument/2006/relationships/table" Target="../tables/table10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9.xml"/><Relationship Id="rId2" Type="http://schemas.openxmlformats.org/officeDocument/2006/relationships/table" Target="../tables/table108.xml"/><Relationship Id="rId1" Type="http://schemas.openxmlformats.org/officeDocument/2006/relationships/drawing" Target="../drawings/drawing30.xml"/><Relationship Id="rId5" Type="http://schemas.openxmlformats.org/officeDocument/2006/relationships/table" Target="../tables/table111.xml"/><Relationship Id="rId4" Type="http://schemas.openxmlformats.org/officeDocument/2006/relationships/table" Target="../tables/table11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2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12.bin"/><Relationship Id="rId6" Type="http://schemas.openxmlformats.org/officeDocument/2006/relationships/table" Target="../tables/table115.xml"/><Relationship Id="rId5" Type="http://schemas.openxmlformats.org/officeDocument/2006/relationships/table" Target="../tables/table114.xml"/><Relationship Id="rId4" Type="http://schemas.openxmlformats.org/officeDocument/2006/relationships/table" Target="../tables/table11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13.bin"/><Relationship Id="rId6" Type="http://schemas.openxmlformats.org/officeDocument/2006/relationships/table" Target="../tables/table119.xml"/><Relationship Id="rId5" Type="http://schemas.openxmlformats.org/officeDocument/2006/relationships/table" Target="../tables/table118.xml"/><Relationship Id="rId4" Type="http://schemas.openxmlformats.org/officeDocument/2006/relationships/table" Target="../tables/table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6E1D1-C329-44EA-921C-A4F23BBC35E2}">
  <sheetPr codeName="Sheet1"/>
  <dimension ref="A1"/>
  <sheetViews>
    <sheetView showGridLines="0" workbookViewId="0">
      <selection activeCell="N22" sqref="N2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3129-EF4A-4CB2-941C-C541321195C3}">
  <sheetPr codeName="Sheet2"/>
  <dimension ref="A1:B36"/>
  <sheetViews>
    <sheetView showGridLines="0" workbookViewId="0">
      <selection activeCell="A11" sqref="A11"/>
    </sheetView>
  </sheetViews>
  <sheetFormatPr defaultRowHeight="12.75" x14ac:dyDescent="0.2"/>
  <cols>
    <col min="1" max="1" width="12.28515625" bestFit="1" customWidth="1"/>
    <col min="2" max="2" width="50.7109375" customWidth="1"/>
  </cols>
  <sheetData>
    <row r="1" spans="1:2" x14ac:dyDescent="0.2">
      <c r="A1" s="1" t="s">
        <v>10</v>
      </c>
    </row>
    <row r="2" spans="1:2" x14ac:dyDescent="0.2">
      <c r="A2" t="s">
        <v>3</v>
      </c>
      <c r="B2" t="s">
        <v>9</v>
      </c>
    </row>
    <row r="3" spans="1:2" x14ac:dyDescent="0.2">
      <c r="A3" s="2" t="s">
        <v>4</v>
      </c>
      <c r="B3" s="2"/>
    </row>
    <row r="4" spans="1:2" x14ac:dyDescent="0.2">
      <c r="A4" s="2" t="s">
        <v>5</v>
      </c>
      <c r="B4" s="2"/>
    </row>
    <row r="5" spans="1:2" x14ac:dyDescent="0.2">
      <c r="A5" s="2" t="s">
        <v>6</v>
      </c>
      <c r="B5" s="2"/>
    </row>
    <row r="6" spans="1:2" x14ac:dyDescent="0.2">
      <c r="A6" s="2" t="s">
        <v>7</v>
      </c>
      <c r="B6" s="2"/>
    </row>
    <row r="7" spans="1:2" x14ac:dyDescent="0.2">
      <c r="A7" s="2" t="s">
        <v>8</v>
      </c>
      <c r="B7" s="2"/>
    </row>
    <row r="8" spans="1:2" x14ac:dyDescent="0.2">
      <c r="A8" s="2" t="s">
        <v>33</v>
      </c>
      <c r="B8" s="2"/>
    </row>
    <row r="9" spans="1:2" x14ac:dyDescent="0.2">
      <c r="A9" s="2" t="s">
        <v>32</v>
      </c>
      <c r="B9" s="2"/>
    </row>
    <row r="10" spans="1:2" x14ac:dyDescent="0.2">
      <c r="A10" s="2" t="s">
        <v>216</v>
      </c>
      <c r="B10" s="2"/>
    </row>
    <row r="11" spans="1:2" x14ac:dyDescent="0.2">
      <c r="A11" s="2" t="s">
        <v>34</v>
      </c>
      <c r="B11" s="2"/>
    </row>
    <row r="12" spans="1:2" x14ac:dyDescent="0.2">
      <c r="A12" s="2" t="s">
        <v>35</v>
      </c>
      <c r="B12" s="2"/>
    </row>
    <row r="14" spans="1:2" x14ac:dyDescent="0.2">
      <c r="A14" s="1" t="s">
        <v>29</v>
      </c>
    </row>
    <row r="15" spans="1:2" x14ac:dyDescent="0.2">
      <c r="A15" t="s">
        <v>11</v>
      </c>
      <c r="B15" t="s">
        <v>28</v>
      </c>
    </row>
    <row r="16" spans="1:2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14</v>
      </c>
    </row>
    <row r="19" spans="1:1" x14ac:dyDescent="0.2">
      <c r="A19" t="s">
        <v>15</v>
      </c>
    </row>
    <row r="20" spans="1:1" x14ac:dyDescent="0.2">
      <c r="A20" t="s">
        <v>16</v>
      </c>
    </row>
    <row r="21" spans="1:1" x14ac:dyDescent="0.2">
      <c r="A21" t="s">
        <v>17</v>
      </c>
    </row>
    <row r="22" spans="1:1" x14ac:dyDescent="0.2">
      <c r="A22" t="s">
        <v>18</v>
      </c>
    </row>
    <row r="23" spans="1:1" x14ac:dyDescent="0.2">
      <c r="A23" t="s">
        <v>19</v>
      </c>
    </row>
    <row r="24" spans="1:1" x14ac:dyDescent="0.2">
      <c r="A24" t="s">
        <v>20</v>
      </c>
    </row>
    <row r="25" spans="1:1" x14ac:dyDescent="0.2">
      <c r="A25" t="s">
        <v>21</v>
      </c>
    </row>
    <row r="26" spans="1:1" x14ac:dyDescent="0.2">
      <c r="A26" t="s">
        <v>22</v>
      </c>
    </row>
    <row r="27" spans="1:1" x14ac:dyDescent="0.2">
      <c r="A27" t="s">
        <v>23</v>
      </c>
    </row>
    <row r="28" spans="1:1" x14ac:dyDescent="0.2">
      <c r="A28" t="s">
        <v>24</v>
      </c>
    </row>
    <row r="29" spans="1:1" x14ac:dyDescent="0.2">
      <c r="A29" t="s">
        <v>25</v>
      </c>
    </row>
    <row r="30" spans="1:1" x14ac:dyDescent="0.2">
      <c r="A30" t="s">
        <v>30</v>
      </c>
    </row>
    <row r="31" spans="1:1" x14ac:dyDescent="0.2">
      <c r="A31" t="s">
        <v>26</v>
      </c>
    </row>
    <row r="32" spans="1:1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/>
    </row>
  </sheetData>
  <dataValidations count="5">
    <dataValidation type="list" allowBlank="1" showInputMessage="1" showErrorMessage="1" sqref="B6" xr:uid="{D7B9B4C9-A465-42DA-A5D6-208ECA3CA799}">
      <formula1>"CWE ≤ ECC, CWE ≥ ECC, CWE ? ECC"</formula1>
    </dataValidation>
    <dataValidation type="list" allowBlank="1" showInputMessage="1" sqref="B7" xr:uid="{6378EC43-3EDB-4ED8-A77B-33BAF9745471}">
      <formula1>"Yes, No, Unknown"</formula1>
    </dataValidation>
    <dataValidation type="list" allowBlank="1" showInputMessage="1" sqref="B8" xr:uid="{2D658C81-3FBD-4EF4-90E2-95E9494210D4}">
      <formula1>"MILCON, SRM, O&amp;M, Host Nation, Other"</formula1>
    </dataValidation>
    <dataValidation type="list" allowBlank="1" showInputMessage="1" sqref="B9:B10" xr:uid="{38A064E4-DC38-41E1-9536-F3738425FCE2}">
      <formula1>"Army, Air Force, Navy, Marines, DPW, DLA, DoDEA"</formula1>
    </dataValidation>
    <dataValidation type="list" allowBlank="1" showInputMessage="1" sqref="B11" xr:uid="{5C7C1DA7-3ABD-4673-A4AA-6ED69F6B1463}">
      <formula1>"DBB, DB"</formula1>
    </dataValidation>
  </dataValidations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EED2C-AE73-4CE9-A505-EE53D499BEB3}">
  <sheetPr codeName="IconSheet"/>
  <dimension ref="A1"/>
  <sheetViews>
    <sheetView showGridLines="0" workbookViewId="0">
      <selection activeCell="P20" sqref="P20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4BF27-B0CD-42E2-B509-C4D9716550D8}">
  <sheetPr codeName="Sheet3"/>
  <dimension ref="A1:G73"/>
  <sheetViews>
    <sheetView showGridLines="0" tabSelected="1" workbookViewId="0">
      <selection activeCell="L14" sqref="L1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36</v>
      </c>
      <c r="D3" s="26">
        <v>10</v>
      </c>
      <c r="E3" s="27" t="s">
        <v>74</v>
      </c>
      <c r="F3" s="28">
        <v>45420</v>
      </c>
      <c r="G3" s="28">
        <v>45421</v>
      </c>
    </row>
    <row r="4" spans="1:7" ht="15.6" customHeight="1" x14ac:dyDescent="0.2">
      <c r="A4" s="2" t="s">
        <v>5</v>
      </c>
      <c r="B4" s="2" t="s">
        <v>37</v>
      </c>
      <c r="D4" s="26">
        <v>11</v>
      </c>
      <c r="E4" s="27" t="s">
        <v>72</v>
      </c>
      <c r="F4" s="28" t="s">
        <v>286</v>
      </c>
      <c r="G4" s="28"/>
    </row>
    <row r="5" spans="1:7" ht="15.6" customHeight="1" x14ac:dyDescent="0.2">
      <c r="A5" s="2" t="s">
        <v>6</v>
      </c>
      <c r="B5" s="2" t="s">
        <v>438</v>
      </c>
      <c r="D5" s="26">
        <v>12</v>
      </c>
      <c r="E5" s="27" t="s">
        <v>75</v>
      </c>
      <c r="F5" s="28">
        <v>45501</v>
      </c>
      <c r="G5" s="28">
        <v>45502</v>
      </c>
    </row>
    <row r="6" spans="1:7" ht="15.6" customHeight="1" x14ac:dyDescent="0.2">
      <c r="A6" s="2" t="s">
        <v>7</v>
      </c>
      <c r="B6" s="2" t="s">
        <v>108</v>
      </c>
      <c r="D6" s="26">
        <v>13</v>
      </c>
      <c r="E6" s="27" t="s">
        <v>76</v>
      </c>
      <c r="F6" s="28">
        <v>45552</v>
      </c>
      <c r="G6" s="28"/>
    </row>
    <row r="7" spans="1:7" ht="15.6" customHeight="1" x14ac:dyDescent="0.2">
      <c r="A7" s="2" t="s">
        <v>8</v>
      </c>
      <c r="B7" s="2" t="s">
        <v>39</v>
      </c>
      <c r="D7" s="26">
        <v>14</v>
      </c>
      <c r="E7" s="27" t="s">
        <v>435</v>
      </c>
      <c r="F7" s="28" t="s">
        <v>314</v>
      </c>
      <c r="G7" s="28"/>
    </row>
    <row r="8" spans="1:7" ht="15.6" customHeight="1" x14ac:dyDescent="0.2">
      <c r="A8" s="2" t="s">
        <v>33</v>
      </c>
      <c r="B8" s="2" t="s">
        <v>283</v>
      </c>
      <c r="D8" s="18">
        <v>15</v>
      </c>
      <c r="E8" s="19" t="s">
        <v>490</v>
      </c>
      <c r="F8" s="20">
        <v>45756</v>
      </c>
      <c r="G8" s="20"/>
    </row>
    <row r="9" spans="1:7" ht="15.6" customHeight="1" x14ac:dyDescent="0.2">
      <c r="A9" s="2" t="s">
        <v>32</v>
      </c>
      <c r="B9" s="2" t="s">
        <v>114</v>
      </c>
      <c r="D9" s="11">
        <v>16</v>
      </c>
      <c r="E9" s="8" t="s">
        <v>401</v>
      </c>
      <c r="F9" s="9">
        <v>45789</v>
      </c>
      <c r="G9" s="9"/>
    </row>
    <row r="10" spans="1:7" ht="15.6" customHeight="1" x14ac:dyDescent="0.2">
      <c r="A10" s="2" t="s">
        <v>216</v>
      </c>
      <c r="B10" s="2" t="s">
        <v>217</v>
      </c>
      <c r="D10" s="11">
        <v>17</v>
      </c>
      <c r="E10" s="8" t="s">
        <v>183</v>
      </c>
      <c r="F10" s="9">
        <v>45877</v>
      </c>
      <c r="G10" s="9"/>
    </row>
    <row r="11" spans="1:7" ht="15.6" customHeight="1" x14ac:dyDescent="0.2">
      <c r="A11" s="2" t="s">
        <v>34</v>
      </c>
      <c r="B11" s="2" t="s">
        <v>41</v>
      </c>
      <c r="D11" s="11">
        <v>18</v>
      </c>
      <c r="E11" s="8" t="s">
        <v>548</v>
      </c>
      <c r="F11" s="9">
        <v>45930</v>
      </c>
      <c r="G11" s="9"/>
    </row>
    <row r="12" spans="1:7" ht="15.6" customHeight="1" x14ac:dyDescent="0.2">
      <c r="A12" s="2" t="s">
        <v>35</v>
      </c>
      <c r="B12" s="2"/>
    </row>
    <row r="13" spans="1:7" ht="15.6" customHeight="1" x14ac:dyDescent="0.2">
      <c r="A13" s="2" t="s">
        <v>529</v>
      </c>
      <c r="B13" s="2" t="s">
        <v>531</v>
      </c>
    </row>
    <row r="14" spans="1:7" ht="15.6" customHeight="1" x14ac:dyDescent="0.2">
      <c r="A14" s="2"/>
      <c r="B14" s="2"/>
    </row>
    <row r="15" spans="1:7" ht="15.6" customHeight="1" x14ac:dyDescent="0.2">
      <c r="A15" s="1" t="s">
        <v>29</v>
      </c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ht="15.6" customHeight="1" x14ac:dyDescent="0.2">
      <c r="A18" t="s">
        <v>13</v>
      </c>
      <c r="B18" t="s">
        <v>43</v>
      </c>
    </row>
    <row r="19" spans="1:2" x14ac:dyDescent="0.2">
      <c r="A19" t="s">
        <v>14</v>
      </c>
      <c r="B19" t="s">
        <v>44</v>
      </c>
    </row>
    <row r="20" spans="1:2" x14ac:dyDescent="0.2">
      <c r="A20" t="s">
        <v>15</v>
      </c>
      <c r="B20" t="s">
        <v>45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48</v>
      </c>
    </row>
    <row r="24" spans="1:2" x14ac:dyDescent="0.2">
      <c r="A24" t="s">
        <v>19</v>
      </c>
      <c r="B24" t="s">
        <v>48</v>
      </c>
    </row>
    <row r="25" spans="1:2" x14ac:dyDescent="0.2">
      <c r="A25" t="s">
        <v>20</v>
      </c>
      <c r="B25" t="s">
        <v>48</v>
      </c>
    </row>
    <row r="26" spans="1:2" x14ac:dyDescent="0.2">
      <c r="A26" t="s">
        <v>239</v>
      </c>
      <c r="B26" t="s">
        <v>48</v>
      </c>
    </row>
    <row r="27" spans="1:2" x14ac:dyDescent="0.2">
      <c r="A27" t="s">
        <v>237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488</v>
      </c>
    </row>
    <row r="35" spans="1:2" x14ac:dyDescent="0.2">
      <c r="A35" t="s">
        <v>238</v>
      </c>
      <c r="B35" t="s">
        <v>217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38.25" x14ac:dyDescent="0.2">
      <c r="A39" s="3"/>
      <c r="B39" s="4" t="s">
        <v>53</v>
      </c>
    </row>
    <row r="40" spans="1:2" ht="51" x14ac:dyDescent="0.2">
      <c r="A40" s="3"/>
      <c r="B40" s="4" t="s">
        <v>54</v>
      </c>
    </row>
    <row r="41" spans="1:2" ht="38.25" x14ac:dyDescent="0.2">
      <c r="A41" s="3"/>
      <c r="B41" s="4" t="s">
        <v>55</v>
      </c>
    </row>
    <row r="42" spans="1:2" ht="25.5" x14ac:dyDescent="0.2">
      <c r="A42" s="3"/>
      <c r="B42" s="4" t="s">
        <v>56</v>
      </c>
    </row>
    <row r="43" spans="1:2" ht="38.25" x14ac:dyDescent="0.2">
      <c r="A43" s="3"/>
      <c r="B43" s="4" t="s">
        <v>57</v>
      </c>
    </row>
    <row r="44" spans="1:2" ht="25.5" x14ac:dyDescent="0.2">
      <c r="A44" s="3"/>
      <c r="B44" s="4" t="s">
        <v>58</v>
      </c>
    </row>
    <row r="45" spans="1:2" ht="25.5" x14ac:dyDescent="0.2">
      <c r="A45" s="3"/>
      <c r="B45" s="4" t="s">
        <v>206</v>
      </c>
    </row>
    <row r="46" spans="1:2" ht="25.5" x14ac:dyDescent="0.2">
      <c r="A46" s="3"/>
      <c r="B46" s="4" t="s">
        <v>59</v>
      </c>
    </row>
    <row r="47" spans="1:2" ht="25.5" x14ac:dyDescent="0.2">
      <c r="A47" s="3"/>
      <c r="B47" s="4" t="s">
        <v>60</v>
      </c>
    </row>
    <row r="48" spans="1:2" ht="51" x14ac:dyDescent="0.2">
      <c r="A48" s="3"/>
      <c r="B48" s="4" t="s">
        <v>181</v>
      </c>
    </row>
    <row r="49" spans="1:2" ht="38.25" x14ac:dyDescent="0.2">
      <c r="A49" s="3"/>
      <c r="B49" s="4" t="s">
        <v>180</v>
      </c>
    </row>
    <row r="50" spans="1:2" x14ac:dyDescent="0.2">
      <c r="A50" s="3"/>
      <c r="B50" s="4" t="s">
        <v>196</v>
      </c>
    </row>
    <row r="51" spans="1:2" ht="25.5" x14ac:dyDescent="0.2">
      <c r="A51" s="3"/>
      <c r="B51" s="4" t="s">
        <v>207</v>
      </c>
    </row>
    <row r="52" spans="1:2" ht="25.5" x14ac:dyDescent="0.2">
      <c r="A52" s="3"/>
      <c r="B52" s="4" t="s">
        <v>208</v>
      </c>
    </row>
    <row r="53" spans="1:2" ht="38.25" x14ac:dyDescent="0.2">
      <c r="A53" s="3"/>
      <c r="B53" s="4" t="s">
        <v>209</v>
      </c>
    </row>
    <row r="54" spans="1:2" ht="25.5" x14ac:dyDescent="0.2">
      <c r="A54" s="3"/>
      <c r="B54" s="4" t="s">
        <v>260</v>
      </c>
    </row>
    <row r="55" spans="1:2" ht="25.5" x14ac:dyDescent="0.2">
      <c r="A55" s="3"/>
      <c r="B55" s="4" t="s">
        <v>284</v>
      </c>
    </row>
    <row r="56" spans="1:2" ht="25.5" x14ac:dyDescent="0.2">
      <c r="A56" s="3"/>
      <c r="B56" s="4" t="s">
        <v>285</v>
      </c>
    </row>
    <row r="57" spans="1:2" ht="38.25" x14ac:dyDescent="0.2">
      <c r="A57" s="3"/>
      <c r="B57" s="4" t="s">
        <v>322</v>
      </c>
    </row>
    <row r="58" spans="1:2" ht="25.5" x14ac:dyDescent="0.2">
      <c r="A58" s="3"/>
      <c r="B58" s="4" t="s">
        <v>350</v>
      </c>
    </row>
    <row r="59" spans="1:2" ht="25.5" x14ac:dyDescent="0.2">
      <c r="A59" s="3"/>
      <c r="B59" s="4" t="s">
        <v>351</v>
      </c>
    </row>
    <row r="60" spans="1:2" x14ac:dyDescent="0.2">
      <c r="A60" s="3"/>
      <c r="B60" s="4" t="s">
        <v>374</v>
      </c>
    </row>
    <row r="61" spans="1:2" ht="25.5" x14ac:dyDescent="0.2">
      <c r="A61" s="3"/>
      <c r="B61" s="4" t="s">
        <v>405</v>
      </c>
    </row>
    <row r="62" spans="1:2" ht="38.25" x14ac:dyDescent="0.2">
      <c r="A62" s="3"/>
      <c r="B62" s="4" t="s">
        <v>402</v>
      </c>
    </row>
    <row r="63" spans="1:2" ht="25.5" x14ac:dyDescent="0.2">
      <c r="A63" s="3"/>
      <c r="B63" s="4" t="s">
        <v>403</v>
      </c>
    </row>
    <row r="64" spans="1:2" x14ac:dyDescent="0.2">
      <c r="A64" s="3"/>
      <c r="B64" s="4" t="s">
        <v>404</v>
      </c>
    </row>
    <row r="65" spans="1:2" x14ac:dyDescent="0.2">
      <c r="A65" s="3"/>
      <c r="B65" s="4" t="s">
        <v>420</v>
      </c>
    </row>
    <row r="66" spans="1:2" ht="25.5" x14ac:dyDescent="0.2">
      <c r="A66" s="3"/>
      <c r="B66" s="4" t="s">
        <v>421</v>
      </c>
    </row>
    <row r="67" spans="1:2" x14ac:dyDescent="0.2">
      <c r="A67" s="3"/>
      <c r="B67" s="4" t="s">
        <v>422</v>
      </c>
    </row>
    <row r="68" spans="1:2" ht="25.5" x14ac:dyDescent="0.2">
      <c r="A68" s="3"/>
      <c r="B68" s="4" t="s">
        <v>442</v>
      </c>
    </row>
    <row r="69" spans="1:2" x14ac:dyDescent="0.2">
      <c r="A69" s="3"/>
      <c r="B69" s="4" t="s">
        <v>489</v>
      </c>
    </row>
    <row r="70" spans="1:2" ht="25.5" x14ac:dyDescent="0.2">
      <c r="A70" s="3"/>
      <c r="B70" s="4" t="s">
        <v>491</v>
      </c>
    </row>
    <row r="71" spans="1:2" x14ac:dyDescent="0.2">
      <c r="A71" s="3" t="s">
        <v>1</v>
      </c>
      <c r="B71" s="4" t="s">
        <v>546</v>
      </c>
    </row>
    <row r="72" spans="1:2" x14ac:dyDescent="0.2">
      <c r="A72" s="3" t="s">
        <v>1</v>
      </c>
      <c r="B72" s="4" t="s">
        <v>547</v>
      </c>
    </row>
    <row r="73" spans="1:2" x14ac:dyDescent="0.2">
      <c r="A73" s="3" t="s">
        <v>1</v>
      </c>
      <c r="B73" s="4" t="s">
        <v>549</v>
      </c>
    </row>
  </sheetData>
  <dataValidations disablePrompts="1" count="5">
    <dataValidation type="list" allowBlank="1" showInputMessage="1" showErrorMessage="1" sqref="B6" xr:uid="{5C11EC67-977E-452C-BF03-51AE664CAF1D}">
      <formula1>"CWE ≤ ECC, CWE ≥ ECC, CWE ? ECC"</formula1>
    </dataValidation>
    <dataValidation type="list" allowBlank="1" showInputMessage="1" sqref="B7" xr:uid="{EBB828F3-8FB7-4F3A-89D0-36D8546A2C2F}">
      <formula1>"Yes, No, Unknown"</formula1>
    </dataValidation>
    <dataValidation type="list" allowBlank="1" showInputMessage="1" sqref="B8" xr:uid="{31C32BE9-C874-41C3-83E0-73A0BD1F38F4}">
      <formula1>"MILCON, SRM, O&amp;M, Host Nation, Other"</formula1>
    </dataValidation>
    <dataValidation type="list" allowBlank="1" showInputMessage="1" sqref="B9:B10" xr:uid="{2A5DEC64-76D2-421B-9EFF-4AAFB3A9BD87}">
      <formula1>"Army, Air Force, Navy, Marines, DPW, DLA, DoDEA"</formula1>
    </dataValidation>
    <dataValidation type="list" allowBlank="1" showInputMessage="1" sqref="B11" xr:uid="{30877E30-B853-4EA3-BDF6-246A5AD2B420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66812-737B-40D0-AAB7-9C064096239B}">
  <sheetPr codeName="Sheet4"/>
  <dimension ref="A1:H41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92</v>
      </c>
      <c r="D3" s="32">
        <v>13</v>
      </c>
      <c r="E3" s="33" t="s">
        <v>76</v>
      </c>
      <c r="F3" s="34" t="s">
        <v>182</v>
      </c>
      <c r="G3" s="34"/>
      <c r="H3" s="34"/>
    </row>
    <row r="4" spans="1:8" ht="15.6" customHeight="1" x14ac:dyDescent="0.2">
      <c r="A4" s="2" t="s">
        <v>5</v>
      </c>
      <c r="B4" s="2">
        <v>500641</v>
      </c>
      <c r="D4" s="32">
        <v>14</v>
      </c>
      <c r="E4" s="33" t="s">
        <v>77</v>
      </c>
      <c r="F4" s="34"/>
      <c r="G4" s="34"/>
      <c r="H4" s="34"/>
    </row>
    <row r="5" spans="1:8" ht="15.6" customHeight="1" x14ac:dyDescent="0.2">
      <c r="A5" s="2" t="s">
        <v>6</v>
      </c>
      <c r="B5" s="2" t="s">
        <v>93</v>
      </c>
      <c r="D5" s="32">
        <v>15</v>
      </c>
      <c r="E5" s="33" t="s">
        <v>184</v>
      </c>
      <c r="F5" s="34"/>
      <c r="G5" s="34">
        <v>45377</v>
      </c>
      <c r="H5" s="34">
        <v>45428</v>
      </c>
    </row>
    <row r="6" spans="1:8" ht="15.6" customHeight="1" x14ac:dyDescent="0.2">
      <c r="A6" s="2" t="s">
        <v>7</v>
      </c>
      <c r="B6" s="2" t="s">
        <v>38</v>
      </c>
      <c r="D6" s="32">
        <v>16</v>
      </c>
      <c r="E6" s="33" t="s">
        <v>183</v>
      </c>
      <c r="F6" s="34">
        <v>45457</v>
      </c>
      <c r="G6" s="34"/>
      <c r="H6" s="34"/>
    </row>
    <row r="7" spans="1:8" ht="15.6" customHeight="1" x14ac:dyDescent="0.2">
      <c r="A7" s="2" t="s">
        <v>8</v>
      </c>
      <c r="B7" s="2" t="s">
        <v>39</v>
      </c>
      <c r="D7" s="32">
        <v>17</v>
      </c>
      <c r="E7" s="33" t="s">
        <v>91</v>
      </c>
      <c r="F7" s="34">
        <v>45478</v>
      </c>
      <c r="G7" s="34"/>
      <c r="H7" s="34"/>
    </row>
    <row r="8" spans="1:8" ht="15.6" customHeight="1" x14ac:dyDescent="0.2">
      <c r="A8" s="2" t="s">
        <v>33</v>
      </c>
      <c r="B8" s="2" t="s">
        <v>82</v>
      </c>
    </row>
    <row r="9" spans="1:8" ht="15.6" customHeight="1" x14ac:dyDescent="0.2">
      <c r="A9" s="2" t="s">
        <v>32</v>
      </c>
      <c r="B9" s="2" t="s">
        <v>94</v>
      </c>
    </row>
    <row r="10" spans="1:8" ht="15.6" customHeight="1" x14ac:dyDescent="0.2">
      <c r="A10" s="2" t="s">
        <v>216</v>
      </c>
      <c r="B10" s="2" t="s">
        <v>219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395</v>
      </c>
    </row>
    <row r="13" spans="1:8" ht="15.6" customHeight="1" x14ac:dyDescent="0.2">
      <c r="A13" s="2"/>
      <c r="B13" s="2"/>
    </row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95</v>
      </c>
    </row>
    <row r="18" spans="1:2" x14ac:dyDescent="0.2">
      <c r="A18" t="s">
        <v>14</v>
      </c>
      <c r="B18" t="s">
        <v>85</v>
      </c>
    </row>
    <row r="19" spans="1:2" x14ac:dyDescent="0.2">
      <c r="A19" t="s">
        <v>15</v>
      </c>
      <c r="B19" t="s">
        <v>45</v>
      </c>
    </row>
    <row r="20" spans="1:2" x14ac:dyDescent="0.2">
      <c r="A20" t="s">
        <v>16</v>
      </c>
      <c r="B20" t="s">
        <v>46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21</v>
      </c>
      <c r="B25" t="s">
        <v>48</v>
      </c>
    </row>
    <row r="26" spans="1:2" x14ac:dyDescent="0.2">
      <c r="A26" t="s">
        <v>22</v>
      </c>
      <c r="B26" t="s">
        <v>48</v>
      </c>
    </row>
    <row r="27" spans="1:2" x14ac:dyDescent="0.2">
      <c r="A27" t="s">
        <v>23</v>
      </c>
      <c r="B27" t="s">
        <v>48</v>
      </c>
    </row>
    <row r="28" spans="1:2" x14ac:dyDescent="0.2">
      <c r="A28" t="s">
        <v>24</v>
      </c>
      <c r="B28" t="s">
        <v>48</v>
      </c>
    </row>
    <row r="29" spans="1:2" x14ac:dyDescent="0.2">
      <c r="A29" t="s">
        <v>25</v>
      </c>
      <c r="B29" t="s">
        <v>48</v>
      </c>
    </row>
    <row r="30" spans="1:2" x14ac:dyDescent="0.2">
      <c r="A30" t="s">
        <v>30</v>
      </c>
      <c r="B30" t="s">
        <v>48</v>
      </c>
    </row>
    <row r="31" spans="1:2" x14ac:dyDescent="0.2">
      <c r="A31" t="s">
        <v>26</v>
      </c>
      <c r="B31" t="s">
        <v>48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187</v>
      </c>
    </row>
    <row r="37" spans="1:2" ht="38.25" x14ac:dyDescent="0.2">
      <c r="A37" s="3"/>
      <c r="B37" s="4" t="s">
        <v>248</v>
      </c>
    </row>
    <row r="38" spans="1:2" x14ac:dyDescent="0.2">
      <c r="A38" s="3"/>
      <c r="B38" s="4" t="s">
        <v>287</v>
      </c>
    </row>
    <row r="39" spans="1:2" x14ac:dyDescent="0.2">
      <c r="A39" s="3"/>
      <c r="B39" s="4" t="s">
        <v>288</v>
      </c>
    </row>
    <row r="40" spans="1:2" x14ac:dyDescent="0.2">
      <c r="A40" s="3" t="s">
        <v>1</v>
      </c>
      <c r="B40" s="4" t="s">
        <v>375</v>
      </c>
    </row>
    <row r="41" spans="1:2" x14ac:dyDescent="0.2">
      <c r="A41" s="3" t="s">
        <v>1</v>
      </c>
      <c r="B41" s="4" t="s">
        <v>394</v>
      </c>
    </row>
  </sheetData>
  <dataValidations disablePrompts="1" count="5">
    <dataValidation type="list" allowBlank="1" showInputMessage="1" showErrorMessage="1" sqref="B6" xr:uid="{31E33739-2A91-49A6-BB44-714F576674F9}">
      <formula1>"CWE ≤ ECC, CWE ≥ ECC, CWE ? ECC"</formula1>
    </dataValidation>
    <dataValidation type="list" allowBlank="1" showInputMessage="1" sqref="B7" xr:uid="{C1AE9318-889E-4C8F-8773-98799D864DB6}">
      <formula1>"Yes, No, Unknown"</formula1>
    </dataValidation>
    <dataValidation type="list" allowBlank="1" showInputMessage="1" sqref="B8" xr:uid="{0B5A54A5-7A6C-4F8D-BD0B-2988432D0523}">
      <formula1>"MILCON, SRM, O&amp;M, Host Nation, Other"</formula1>
    </dataValidation>
    <dataValidation type="list" allowBlank="1" showInputMessage="1" sqref="B9:B10" xr:uid="{E99EE601-3F4E-4C2A-8A7F-4D4F7009E57A}">
      <formula1>"Army, Air Force, Navy, Marines, DPW, DLA, DoDEA"</formula1>
    </dataValidation>
    <dataValidation type="list" allowBlank="1" showInputMessage="1" sqref="B11" xr:uid="{DEEED77C-9CB6-4FD5-B856-EC09031C6996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FC5A6-85BB-4AC0-83F4-892F56E83F3E}">
  <sheetPr codeName="Sheet5"/>
  <dimension ref="A1:G56"/>
  <sheetViews>
    <sheetView showGridLines="0" workbookViewId="0">
      <selection activeCell="H7" sqref="H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480</v>
      </c>
      <c r="D3" s="29">
        <v>1</v>
      </c>
      <c r="E3" s="30" t="s">
        <v>90</v>
      </c>
      <c r="F3" s="31">
        <v>45377</v>
      </c>
      <c r="G3" s="31"/>
    </row>
    <row r="4" spans="1:7" ht="15.6" customHeight="1" x14ac:dyDescent="0.2">
      <c r="A4" s="2" t="s">
        <v>5</v>
      </c>
      <c r="B4" s="2">
        <v>502540</v>
      </c>
      <c r="D4" s="35">
        <v>2</v>
      </c>
      <c r="E4" s="36" t="s">
        <v>417</v>
      </c>
      <c r="F4" s="37">
        <v>45590</v>
      </c>
      <c r="G4" s="37"/>
    </row>
    <row r="5" spans="1:7" ht="15.6" customHeight="1" x14ac:dyDescent="0.2">
      <c r="A5" s="2" t="s">
        <v>6</v>
      </c>
      <c r="B5" s="2" t="s">
        <v>81</v>
      </c>
      <c r="D5" s="29">
        <v>3</v>
      </c>
      <c r="E5" s="30" t="s">
        <v>418</v>
      </c>
      <c r="F5" s="31"/>
      <c r="G5" s="31">
        <v>45641</v>
      </c>
    </row>
    <row r="6" spans="1:7" ht="15.6" customHeight="1" x14ac:dyDescent="0.2">
      <c r="A6" s="2" t="s">
        <v>7</v>
      </c>
      <c r="B6" s="2" t="s">
        <v>38</v>
      </c>
      <c r="D6" s="35">
        <v>4</v>
      </c>
      <c r="E6" s="36" t="s">
        <v>419</v>
      </c>
      <c r="F6" s="37">
        <v>45306</v>
      </c>
      <c r="G6" s="37"/>
    </row>
    <row r="7" spans="1:7" ht="15.6" customHeight="1" x14ac:dyDescent="0.2">
      <c r="A7" s="2" t="s">
        <v>8</v>
      </c>
      <c r="B7" s="2" t="s">
        <v>39</v>
      </c>
      <c r="D7" s="29">
        <v>5</v>
      </c>
      <c r="E7" s="30" t="s">
        <v>492</v>
      </c>
      <c r="F7" s="31">
        <v>45341</v>
      </c>
      <c r="G7" s="31"/>
    </row>
    <row r="8" spans="1:7" ht="15.6" customHeight="1" x14ac:dyDescent="0.2">
      <c r="A8" s="2" t="s">
        <v>33</v>
      </c>
      <c r="B8" s="2" t="s">
        <v>82</v>
      </c>
      <c r="D8" s="12">
        <v>6</v>
      </c>
      <c r="E8" s="13" t="s">
        <v>490</v>
      </c>
      <c r="F8" s="14">
        <v>45751</v>
      </c>
      <c r="G8" s="14"/>
    </row>
    <row r="9" spans="1:7" ht="15.6" customHeight="1" x14ac:dyDescent="0.2">
      <c r="A9" s="2" t="s">
        <v>32</v>
      </c>
      <c r="B9" s="2" t="s">
        <v>83</v>
      </c>
      <c r="D9" s="11">
        <v>7</v>
      </c>
      <c r="E9" s="8" t="s">
        <v>183</v>
      </c>
      <c r="F9" s="9"/>
      <c r="G9" s="9"/>
    </row>
    <row r="10" spans="1:7" ht="15.6" customHeight="1" x14ac:dyDescent="0.2">
      <c r="A10" s="2" t="s">
        <v>216</v>
      </c>
      <c r="B10" s="2" t="s">
        <v>217</v>
      </c>
      <c r="D10" s="11">
        <v>8</v>
      </c>
      <c r="E10" s="8" t="s">
        <v>548</v>
      </c>
      <c r="F10" s="9"/>
      <c r="G10" s="9"/>
    </row>
    <row r="11" spans="1:7" ht="15.6" customHeight="1" x14ac:dyDescent="0.2">
      <c r="A11" s="2" t="s">
        <v>34</v>
      </c>
      <c r="B11" s="2" t="s">
        <v>41</v>
      </c>
    </row>
    <row r="12" spans="1:7" ht="15.6" customHeight="1" x14ac:dyDescent="0.2">
      <c r="A12" s="2" t="s">
        <v>35</v>
      </c>
      <c r="B12" s="2"/>
    </row>
    <row r="13" spans="1:7" ht="15.6" customHeight="1" x14ac:dyDescent="0.2">
      <c r="A13" s="2" t="s">
        <v>529</v>
      </c>
      <c r="B13" s="2" t="s">
        <v>533</v>
      </c>
    </row>
    <row r="14" spans="1:7" ht="15.6" customHeight="1" x14ac:dyDescent="0.2"/>
    <row r="15" spans="1:7" ht="15.6" customHeight="1" x14ac:dyDescent="0.2">
      <c r="A15" s="1" t="s">
        <v>29</v>
      </c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84</v>
      </c>
    </row>
    <row r="19" spans="1:2" x14ac:dyDescent="0.2">
      <c r="A19" t="s">
        <v>14</v>
      </c>
      <c r="B19" t="s">
        <v>85</v>
      </c>
    </row>
    <row r="20" spans="1:2" x14ac:dyDescent="0.2">
      <c r="A20" t="s">
        <v>15</v>
      </c>
      <c r="B20" t="s">
        <v>505</v>
      </c>
    </row>
    <row r="21" spans="1:2" x14ac:dyDescent="0.2">
      <c r="A21" t="s">
        <v>16</v>
      </c>
      <c r="B21" t="s">
        <v>48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106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266</v>
      </c>
    </row>
    <row r="26" spans="1:2" x14ac:dyDescent="0.2">
      <c r="A26" t="s">
        <v>239</v>
      </c>
      <c r="B26" t="s">
        <v>48</v>
      </c>
    </row>
    <row r="27" spans="1:2" x14ac:dyDescent="0.2">
      <c r="A27" t="s">
        <v>237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308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217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87</v>
      </c>
    </row>
    <row r="40" spans="1:2" x14ac:dyDescent="0.2">
      <c r="A40" s="3"/>
      <c r="B40" s="4" t="s">
        <v>88</v>
      </c>
    </row>
    <row r="41" spans="1:2" ht="25.5" x14ac:dyDescent="0.2">
      <c r="A41" s="3"/>
      <c r="B41" s="4" t="s">
        <v>89</v>
      </c>
    </row>
    <row r="42" spans="1:2" ht="25.5" x14ac:dyDescent="0.2">
      <c r="A42" s="3"/>
      <c r="B42" s="4" t="s">
        <v>229</v>
      </c>
    </row>
    <row r="43" spans="1:2" ht="25.5" x14ac:dyDescent="0.2">
      <c r="A43" s="3"/>
      <c r="B43" s="4" t="s">
        <v>295</v>
      </c>
    </row>
    <row r="44" spans="1:2" ht="38.25" x14ac:dyDescent="0.2">
      <c r="A44" s="3"/>
      <c r="B44" s="4" t="s">
        <v>296</v>
      </c>
    </row>
    <row r="45" spans="1:2" x14ac:dyDescent="0.2">
      <c r="A45" s="3"/>
      <c r="B45" s="4" t="s">
        <v>323</v>
      </c>
    </row>
    <row r="46" spans="1:2" ht="25.5" x14ac:dyDescent="0.2">
      <c r="A46" s="3"/>
      <c r="B46" s="4" t="s">
        <v>376</v>
      </c>
    </row>
    <row r="47" spans="1:2" x14ac:dyDescent="0.2">
      <c r="A47" s="3"/>
      <c r="B47" s="4" t="s">
        <v>414</v>
      </c>
    </row>
    <row r="48" spans="1:2" x14ac:dyDescent="0.2">
      <c r="A48" s="3"/>
      <c r="B48" s="4" t="s">
        <v>415</v>
      </c>
    </row>
    <row r="49" spans="1:2" x14ac:dyDescent="0.2">
      <c r="A49" s="3"/>
      <c r="B49" s="4" t="s">
        <v>416</v>
      </c>
    </row>
    <row r="50" spans="1:2" ht="38.25" x14ac:dyDescent="0.2">
      <c r="A50" s="3"/>
      <c r="B50" s="4" t="s">
        <v>436</v>
      </c>
    </row>
    <row r="51" spans="1:2" ht="38.25" x14ac:dyDescent="0.2">
      <c r="A51" s="3"/>
      <c r="B51" s="4" t="s">
        <v>437</v>
      </c>
    </row>
    <row r="52" spans="1:2" ht="51" x14ac:dyDescent="0.2">
      <c r="A52" s="3"/>
      <c r="B52" s="4" t="s">
        <v>439</v>
      </c>
    </row>
    <row r="53" spans="1:2" ht="25.5" x14ac:dyDescent="0.2">
      <c r="A53" s="3"/>
      <c r="B53" s="4" t="s">
        <v>466</v>
      </c>
    </row>
    <row r="54" spans="1:2" ht="25.5" x14ac:dyDescent="0.2">
      <c r="A54" s="3" t="s">
        <v>1</v>
      </c>
      <c r="B54" s="4" t="s">
        <v>493</v>
      </c>
    </row>
    <row r="55" spans="1:2" ht="25.5" x14ac:dyDescent="0.2">
      <c r="A55" s="3" t="s">
        <v>1</v>
      </c>
      <c r="B55" s="4" t="s">
        <v>494</v>
      </c>
    </row>
    <row r="56" spans="1:2" x14ac:dyDescent="0.2">
      <c r="A56" s="3" t="s">
        <v>1</v>
      </c>
      <c r="B56" s="4" t="s">
        <v>495</v>
      </c>
    </row>
  </sheetData>
  <dataValidations disablePrompts="1" count="5">
    <dataValidation type="list" allowBlank="1" showInputMessage="1" showErrorMessage="1" sqref="B6" xr:uid="{8814A225-FE73-48DA-AA68-135065B1ED89}">
      <formula1>"CWE ≤ ECC, CWE ≥ ECC, CWE ? ECC"</formula1>
    </dataValidation>
    <dataValidation type="list" allowBlank="1" showInputMessage="1" sqref="B7" xr:uid="{FDB06EB6-B5BE-4B20-A256-8B24305F7E65}">
      <formula1>"Yes, No, Unknown"</formula1>
    </dataValidation>
    <dataValidation type="list" allowBlank="1" showInputMessage="1" sqref="B8" xr:uid="{7C516568-53BD-496E-A2AD-DBC71E9B63A5}">
      <formula1>"MILCON, SRM, O&amp;M, Host Nation, Other"</formula1>
    </dataValidation>
    <dataValidation type="list" allowBlank="1" showInputMessage="1" sqref="B9:B10" xr:uid="{BA6B8F0F-8035-4F93-9809-9AA0A264F955}">
      <formula1>"Army, Air Force, Navy, Marines, DPW, DLA, DoDEA"</formula1>
    </dataValidation>
    <dataValidation type="list" allowBlank="1" showInputMessage="1" sqref="B11" xr:uid="{0B5135A7-1B40-4FA3-B37F-A718E4AB8B25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2C8C3-A647-4584-A631-C2F4A66C360B}">
  <sheetPr codeName="Sheet6"/>
  <dimension ref="A1:G44"/>
  <sheetViews>
    <sheetView showGridLines="0" workbookViewId="0">
      <selection activeCell="R18" sqref="R1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96</v>
      </c>
      <c r="D3" s="29">
        <v>1</v>
      </c>
      <c r="E3" s="30" t="s">
        <v>77</v>
      </c>
      <c r="F3" s="31"/>
      <c r="G3" s="31"/>
    </row>
    <row r="4" spans="1:7" ht="15.6" customHeight="1" x14ac:dyDescent="0.2">
      <c r="A4" s="2" t="s">
        <v>5</v>
      </c>
      <c r="B4" s="2">
        <v>501888</v>
      </c>
      <c r="D4" s="35">
        <v>2</v>
      </c>
      <c r="E4" s="36" t="s">
        <v>90</v>
      </c>
      <c r="F4" s="37">
        <v>45450</v>
      </c>
      <c r="G4" s="37"/>
    </row>
    <row r="5" spans="1:7" ht="15.6" customHeight="1" x14ac:dyDescent="0.2">
      <c r="A5" s="2" t="s">
        <v>6</v>
      </c>
      <c r="B5" s="2" t="s">
        <v>97</v>
      </c>
      <c r="D5" s="29">
        <v>3</v>
      </c>
      <c r="E5" s="30" t="s">
        <v>183</v>
      </c>
      <c r="F5" s="31">
        <v>45541</v>
      </c>
      <c r="G5" s="31"/>
    </row>
    <row r="6" spans="1:7" ht="15.6" customHeight="1" x14ac:dyDescent="0.2">
      <c r="A6" s="2" t="s">
        <v>7</v>
      </c>
      <c r="B6" s="2" t="s">
        <v>38</v>
      </c>
      <c r="D6" s="12">
        <v>4</v>
      </c>
      <c r="E6" s="13" t="s">
        <v>395</v>
      </c>
      <c r="F6" s="43" t="s">
        <v>514</v>
      </c>
      <c r="G6" s="14"/>
    </row>
    <row r="7" spans="1:7" ht="15.6" customHeight="1" x14ac:dyDescent="0.2">
      <c r="A7" s="2" t="s">
        <v>8</v>
      </c>
      <c r="B7" s="2" t="s">
        <v>39</v>
      </c>
    </row>
    <row r="8" spans="1:7" ht="15.6" customHeight="1" x14ac:dyDescent="0.2">
      <c r="A8" s="2" t="s">
        <v>33</v>
      </c>
      <c r="B8" s="2" t="s">
        <v>82</v>
      </c>
    </row>
    <row r="9" spans="1:7" ht="15.6" customHeight="1" x14ac:dyDescent="0.2">
      <c r="A9" s="2" t="s">
        <v>32</v>
      </c>
      <c r="B9" s="2" t="s">
        <v>98</v>
      </c>
    </row>
    <row r="10" spans="1:7" ht="15.6" customHeight="1" x14ac:dyDescent="0.2">
      <c r="A10" s="2" t="s">
        <v>216</v>
      </c>
      <c r="B10" s="2" t="s">
        <v>220</v>
      </c>
    </row>
    <row r="11" spans="1:7" ht="15.6" customHeight="1" x14ac:dyDescent="0.2">
      <c r="A11" s="2" t="s">
        <v>34</v>
      </c>
      <c r="B11" s="2" t="s">
        <v>41</v>
      </c>
    </row>
    <row r="12" spans="1:7" ht="15.6" customHeight="1" x14ac:dyDescent="0.2">
      <c r="A12" s="2" t="s">
        <v>35</v>
      </c>
      <c r="B12" s="2" t="s">
        <v>395</v>
      </c>
    </row>
    <row r="13" spans="1:7" ht="15.6" customHeight="1" x14ac:dyDescent="0.2">
      <c r="A13" s="2" t="s">
        <v>529</v>
      </c>
      <c r="B13" s="2"/>
    </row>
    <row r="14" spans="1:7" ht="15.6" customHeight="1" x14ac:dyDescent="0.2"/>
    <row r="15" spans="1:7" ht="15.6" customHeight="1" x14ac:dyDescent="0.2">
      <c r="A15" s="1" t="s">
        <v>29</v>
      </c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95</v>
      </c>
    </row>
    <row r="19" spans="1:2" x14ac:dyDescent="0.2">
      <c r="A19" t="s">
        <v>14</v>
      </c>
      <c r="B19" t="s">
        <v>85</v>
      </c>
    </row>
    <row r="20" spans="1:2" x14ac:dyDescent="0.2">
      <c r="A20" t="s">
        <v>15</v>
      </c>
      <c r="B20" t="s">
        <v>294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48</v>
      </c>
    </row>
    <row r="24" spans="1:2" x14ac:dyDescent="0.2">
      <c r="A24" t="s">
        <v>19</v>
      </c>
      <c r="B24" t="s">
        <v>48</v>
      </c>
    </row>
    <row r="25" spans="1:2" x14ac:dyDescent="0.2">
      <c r="A25" t="s">
        <v>20</v>
      </c>
      <c r="B25" t="s">
        <v>48</v>
      </c>
    </row>
    <row r="26" spans="1:2" x14ac:dyDescent="0.2">
      <c r="A26" t="s">
        <v>239</v>
      </c>
      <c r="B26" t="s">
        <v>504</v>
      </c>
    </row>
    <row r="27" spans="1:2" x14ac:dyDescent="0.2">
      <c r="A27" t="s">
        <v>237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48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503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89</v>
      </c>
    </row>
    <row r="40" spans="1:2" ht="25.5" x14ac:dyDescent="0.2">
      <c r="A40" s="3"/>
      <c r="B40" s="4" t="s">
        <v>230</v>
      </c>
    </row>
    <row r="41" spans="1:2" x14ac:dyDescent="0.2">
      <c r="A41" s="3"/>
      <c r="B41" s="4" t="s">
        <v>289</v>
      </c>
    </row>
    <row r="42" spans="1:2" ht="25.5" x14ac:dyDescent="0.2">
      <c r="A42" s="3"/>
      <c r="B42" s="4" t="s">
        <v>352</v>
      </c>
    </row>
    <row r="43" spans="1:2" x14ac:dyDescent="0.2">
      <c r="A43" s="3"/>
      <c r="B43" s="4" t="s">
        <v>377</v>
      </c>
    </row>
    <row r="44" spans="1:2" x14ac:dyDescent="0.2">
      <c r="A44" s="3" t="s">
        <v>1</v>
      </c>
      <c r="B44" s="4" t="s">
        <v>513</v>
      </c>
    </row>
  </sheetData>
  <dataValidations disablePrompts="1" count="5">
    <dataValidation type="list" allowBlank="1" showInputMessage="1" showErrorMessage="1" sqref="B6" xr:uid="{8C078254-1CF4-4CDE-97FA-21FEB13AC25D}">
      <formula1>"CWE ≤ ECC, CWE ≥ ECC, CWE ? ECC"</formula1>
    </dataValidation>
    <dataValidation type="list" allowBlank="1" showInputMessage="1" sqref="B7" xr:uid="{272A147E-EAD9-4D1F-B689-7F29E823B121}">
      <formula1>"Yes, No, Unknown"</formula1>
    </dataValidation>
    <dataValidation type="list" allowBlank="1" showInputMessage="1" sqref="B8" xr:uid="{781A3D4B-D9E9-41CE-ABDF-1FF5B2ED7DD2}">
      <formula1>"MILCON, SRM, O&amp;M, Host Nation, Other"</formula1>
    </dataValidation>
    <dataValidation type="list" allowBlank="1" showInputMessage="1" sqref="B9:B10" xr:uid="{941B366E-21EF-4D5B-A326-A0A0EA2D3CF2}">
      <formula1>"Army, Air Force, Navy, Marines, DPW, DLA, DoDEA"</formula1>
    </dataValidation>
    <dataValidation type="list" allowBlank="1" showInputMessage="1" sqref="B11" xr:uid="{D4945BE0-3C88-4442-959B-6E31C03BC6B4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1FE6F-8628-4369-88ED-23FAB2C0D287}">
  <sheetPr codeName="Sheet24"/>
  <dimension ref="A1:H43"/>
  <sheetViews>
    <sheetView showGridLines="0" topLeftCell="A5" workbookViewId="0">
      <selection activeCell="B12" sqref="B12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290</v>
      </c>
      <c r="D3" s="12">
        <v>1</v>
      </c>
      <c r="E3" s="13" t="s">
        <v>379</v>
      </c>
      <c r="F3" s="14" t="s">
        <v>80</v>
      </c>
      <c r="G3" s="14"/>
      <c r="H3" s="14"/>
    </row>
    <row r="4" spans="1:8" ht="15.6" customHeight="1" x14ac:dyDescent="0.2">
      <c r="A4" s="2" t="s">
        <v>5</v>
      </c>
      <c r="B4" s="2">
        <v>504031</v>
      </c>
      <c r="D4" s="11">
        <v>2</v>
      </c>
      <c r="E4" s="8" t="s">
        <v>292</v>
      </c>
      <c r="F4" s="9" t="s">
        <v>80</v>
      </c>
      <c r="G4" s="9"/>
      <c r="H4" s="9"/>
    </row>
    <row r="5" spans="1:8" ht="15.6" customHeight="1" x14ac:dyDescent="0.2">
      <c r="A5" s="2" t="s">
        <v>6</v>
      </c>
      <c r="B5" s="2" t="s">
        <v>100</v>
      </c>
      <c r="D5" s="11">
        <v>3</v>
      </c>
      <c r="E5" s="8" t="s">
        <v>91</v>
      </c>
      <c r="F5" s="9" t="s">
        <v>80</v>
      </c>
      <c r="G5" s="9"/>
      <c r="H5" s="9"/>
    </row>
    <row r="6" spans="1:8" ht="15.6" customHeight="1" x14ac:dyDescent="0.2">
      <c r="A6" s="2" t="s">
        <v>7</v>
      </c>
      <c r="B6" s="2" t="s">
        <v>38</v>
      </c>
      <c r="D6" s="11"/>
      <c r="E6" s="8"/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/>
      <c r="E7" s="8"/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/>
      <c r="E8" s="8"/>
      <c r="F8" s="9"/>
      <c r="G8" s="9"/>
      <c r="H8" s="9"/>
    </row>
    <row r="9" spans="1:8" ht="15.6" customHeight="1" x14ac:dyDescent="0.2">
      <c r="A9" s="2" t="s">
        <v>32</v>
      </c>
      <c r="B9" s="2" t="s">
        <v>103</v>
      </c>
      <c r="D9" s="11"/>
      <c r="E9" s="8"/>
      <c r="F9" s="9"/>
      <c r="G9" s="9"/>
      <c r="H9" s="9"/>
    </row>
    <row r="10" spans="1:8" ht="15.6" customHeight="1" x14ac:dyDescent="0.2">
      <c r="A10" s="2" t="s">
        <v>216</v>
      </c>
      <c r="B10" s="2" t="s">
        <v>291</v>
      </c>
      <c r="D10" s="11"/>
      <c r="E10" s="8"/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/>
      <c r="E11" s="8"/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/>
      <c r="E12" s="8"/>
      <c r="F12" s="9"/>
      <c r="G12" s="9"/>
      <c r="H12" s="9"/>
    </row>
    <row r="13" spans="1:8" ht="15.6" customHeight="1" x14ac:dyDescent="0.2">
      <c r="A13" s="2" t="s">
        <v>529</v>
      </c>
      <c r="B13" s="2"/>
      <c r="D13" s="11"/>
      <c r="E13" s="8"/>
      <c r="F13" s="9"/>
      <c r="G13" s="9"/>
      <c r="H13" s="9"/>
    </row>
    <row r="14" spans="1:8" ht="15.6" customHeight="1" x14ac:dyDescent="0.2">
      <c r="D14" s="11"/>
      <c r="E14" s="8"/>
      <c r="F14" s="9"/>
      <c r="G14" s="9"/>
      <c r="H14" s="9"/>
    </row>
    <row r="15" spans="1:8" ht="15.6" customHeight="1" x14ac:dyDescent="0.2">
      <c r="A15" s="1" t="s">
        <v>29</v>
      </c>
      <c r="D15" s="11"/>
      <c r="E15" s="8"/>
      <c r="F15" s="9"/>
      <c r="G15" s="9"/>
      <c r="H15" s="9"/>
    </row>
    <row r="16" spans="1:8" ht="15.6" customHeight="1" x14ac:dyDescent="0.2">
      <c r="A16" t="s">
        <v>11</v>
      </c>
      <c r="B16" t="s">
        <v>28</v>
      </c>
      <c r="D16" s="11"/>
      <c r="E16" s="8"/>
      <c r="F16" s="9"/>
      <c r="G16" s="9"/>
      <c r="H16" s="9"/>
    </row>
    <row r="17" spans="1:8" ht="15.6" customHeight="1" x14ac:dyDescent="0.2">
      <c r="A17" t="s">
        <v>12</v>
      </c>
      <c r="B17" t="s">
        <v>42</v>
      </c>
      <c r="D17" s="11"/>
      <c r="E17" s="8"/>
      <c r="F17" s="9"/>
      <c r="G17" s="9"/>
      <c r="H17" s="9"/>
    </row>
    <row r="18" spans="1:8" x14ac:dyDescent="0.2">
      <c r="A18" t="s">
        <v>13</v>
      </c>
      <c r="B18" t="s">
        <v>95</v>
      </c>
    </row>
    <row r="19" spans="1:8" x14ac:dyDescent="0.2">
      <c r="A19" t="s">
        <v>14</v>
      </c>
      <c r="B19" t="s">
        <v>85</v>
      </c>
    </row>
    <row r="20" spans="1:8" x14ac:dyDescent="0.2">
      <c r="A20" t="s">
        <v>15</v>
      </c>
      <c r="B20" t="s">
        <v>462</v>
      </c>
    </row>
    <row r="21" spans="1:8" x14ac:dyDescent="0.2">
      <c r="A21" t="s">
        <v>16</v>
      </c>
      <c r="B21" t="s">
        <v>321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48</v>
      </c>
    </row>
    <row r="24" spans="1:8" x14ac:dyDescent="0.2">
      <c r="A24" t="s">
        <v>19</v>
      </c>
      <c r="B24" t="s">
        <v>48</v>
      </c>
    </row>
    <row r="25" spans="1:8" x14ac:dyDescent="0.2">
      <c r="A25" t="s">
        <v>20</v>
      </c>
      <c r="B25" t="s">
        <v>48</v>
      </c>
    </row>
    <row r="26" spans="1:8" x14ac:dyDescent="0.2">
      <c r="A26" t="s">
        <v>239</v>
      </c>
      <c r="B26" t="s">
        <v>504</v>
      </c>
    </row>
    <row r="27" spans="1:8" x14ac:dyDescent="0.2">
      <c r="A27" t="s">
        <v>237</v>
      </c>
      <c r="B27" t="s">
        <v>48</v>
      </c>
    </row>
    <row r="28" spans="1:8" x14ac:dyDescent="0.2">
      <c r="A28" t="s">
        <v>22</v>
      </c>
      <c r="B28" t="s">
        <v>48</v>
      </c>
    </row>
    <row r="29" spans="1:8" x14ac:dyDescent="0.2">
      <c r="A29" t="s">
        <v>23</v>
      </c>
      <c r="B29" t="s">
        <v>48</v>
      </c>
    </row>
    <row r="30" spans="1:8" x14ac:dyDescent="0.2">
      <c r="A30" t="s">
        <v>24</v>
      </c>
      <c r="B30" t="s">
        <v>48</v>
      </c>
    </row>
    <row r="31" spans="1:8" x14ac:dyDescent="0.2">
      <c r="A31" t="s">
        <v>25</v>
      </c>
      <c r="B31" t="s">
        <v>48</v>
      </c>
    </row>
    <row r="32" spans="1:8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503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293</v>
      </c>
    </row>
    <row r="40" spans="1:2" ht="25.5" x14ac:dyDescent="0.2">
      <c r="A40" s="3"/>
      <c r="B40" s="4" t="s">
        <v>353</v>
      </c>
    </row>
    <row r="41" spans="1:2" x14ac:dyDescent="0.2">
      <c r="A41" s="3"/>
      <c r="B41" s="4" t="s">
        <v>354</v>
      </c>
    </row>
    <row r="42" spans="1:2" ht="25.5" x14ac:dyDescent="0.2">
      <c r="A42" s="3" t="s">
        <v>1</v>
      </c>
      <c r="B42" s="4" t="s">
        <v>378</v>
      </c>
    </row>
    <row r="43" spans="1:2" x14ac:dyDescent="0.2">
      <c r="A43" s="3" t="s">
        <v>1</v>
      </c>
      <c r="B43" s="47" t="s">
        <v>545</v>
      </c>
    </row>
  </sheetData>
  <dataValidations disablePrompts="1" count="5">
    <dataValidation type="list" allowBlank="1" showInputMessage="1" showErrorMessage="1" sqref="B6" xr:uid="{2A2FFF62-5763-4B8B-A805-25A883C3FF29}">
      <formula1>"CWE ≤ ECC, CWE ≥ ECC, CWE ? ECC"</formula1>
    </dataValidation>
    <dataValidation type="list" allowBlank="1" showInputMessage="1" sqref="B7" xr:uid="{7AAD8132-7B98-429C-BBD2-4DC21214F6AD}">
      <formula1>"Yes, No, Unknown"</formula1>
    </dataValidation>
    <dataValidation type="list" allowBlank="1" showInputMessage="1" sqref="B8" xr:uid="{DCDD9204-C993-4E45-A72C-22827AF0A50D}">
      <formula1>"MILCON, SRM, O&amp;M, Host Nation, Other"</formula1>
    </dataValidation>
    <dataValidation type="list" allowBlank="1" showInputMessage="1" sqref="B9" xr:uid="{46CCAA13-DCDD-4F91-9D33-F60EA146FB93}">
      <formula1>"Army, Air Force, Navy, Marines, DPW, DLA, DoDEA"</formula1>
    </dataValidation>
    <dataValidation type="list" allowBlank="1" showInputMessage="1" sqref="B11" xr:uid="{53EBE5B3-D034-444B-8A5B-1EB1248A57F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3904-9F03-4474-A7AB-CE4475B84BE1}">
  <sheetPr codeName="Sheet7"/>
  <dimension ref="A1:G47"/>
  <sheetViews>
    <sheetView showGridLines="0" workbookViewId="0">
      <selection activeCell="B25" sqref="B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99</v>
      </c>
      <c r="D3" s="26">
        <v>1</v>
      </c>
      <c r="E3" s="27" t="s">
        <v>66</v>
      </c>
      <c r="F3" s="28"/>
      <c r="G3" s="28"/>
    </row>
    <row r="4" spans="1:7" ht="15.6" customHeight="1" x14ac:dyDescent="0.2">
      <c r="A4" s="2" t="s">
        <v>5</v>
      </c>
      <c r="B4" s="2">
        <v>486721</v>
      </c>
      <c r="D4" s="26">
        <v>2</v>
      </c>
      <c r="E4" s="27" t="s">
        <v>67</v>
      </c>
      <c r="F4" s="28"/>
      <c r="G4" s="28"/>
    </row>
    <row r="5" spans="1:7" ht="15.6" customHeight="1" x14ac:dyDescent="0.2">
      <c r="A5" s="2" t="s">
        <v>6</v>
      </c>
      <c r="B5" s="2" t="s">
        <v>100</v>
      </c>
      <c r="D5" s="26">
        <v>3</v>
      </c>
      <c r="E5" s="27" t="s">
        <v>68</v>
      </c>
      <c r="F5" s="28"/>
      <c r="G5" s="28"/>
    </row>
    <row r="6" spans="1:7" ht="15.6" customHeight="1" x14ac:dyDescent="0.2">
      <c r="A6" s="2" t="s">
        <v>7</v>
      </c>
      <c r="B6" s="2" t="s">
        <v>38</v>
      </c>
      <c r="D6" s="26">
        <v>4</v>
      </c>
      <c r="E6" s="27" t="s">
        <v>69</v>
      </c>
      <c r="F6" s="28"/>
      <c r="G6" s="28"/>
    </row>
    <row r="7" spans="1:7" ht="15.6" customHeight="1" x14ac:dyDescent="0.2">
      <c r="A7" s="2" t="s">
        <v>8</v>
      </c>
      <c r="B7" s="2" t="s">
        <v>39</v>
      </c>
      <c r="D7" s="26">
        <v>5</v>
      </c>
      <c r="E7" s="27" t="s">
        <v>70</v>
      </c>
      <c r="F7" s="28"/>
      <c r="G7" s="28"/>
    </row>
    <row r="8" spans="1:7" ht="15.6" customHeight="1" x14ac:dyDescent="0.2">
      <c r="A8" s="2" t="s">
        <v>33</v>
      </c>
      <c r="B8" s="2" t="s">
        <v>82</v>
      </c>
      <c r="D8" s="26">
        <v>6</v>
      </c>
      <c r="E8" s="27" t="s">
        <v>71</v>
      </c>
      <c r="F8" s="28"/>
      <c r="G8" s="28"/>
    </row>
    <row r="9" spans="1:7" ht="15.6" customHeight="1" x14ac:dyDescent="0.2">
      <c r="A9" s="2" t="s">
        <v>32</v>
      </c>
      <c r="B9" s="2" t="s">
        <v>102</v>
      </c>
      <c r="D9" s="26">
        <v>7</v>
      </c>
      <c r="E9" s="27" t="s">
        <v>72</v>
      </c>
      <c r="F9" s="28"/>
      <c r="G9" s="28"/>
    </row>
    <row r="10" spans="1:7" ht="15.6" customHeight="1" x14ac:dyDescent="0.2">
      <c r="A10" s="2" t="s">
        <v>216</v>
      </c>
      <c r="B10" s="2" t="s">
        <v>221</v>
      </c>
      <c r="D10" s="22">
        <v>8</v>
      </c>
      <c r="E10" s="23" t="s">
        <v>550</v>
      </c>
      <c r="F10" s="38" t="s">
        <v>80</v>
      </c>
      <c r="G10" s="24"/>
    </row>
    <row r="11" spans="1:7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</row>
    <row r="12" spans="1:7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</row>
    <row r="13" spans="1:7" ht="15.6" customHeight="1" x14ac:dyDescent="0.2">
      <c r="A13" s="2" t="s">
        <v>529</v>
      </c>
      <c r="B13" s="2" t="s">
        <v>538</v>
      </c>
      <c r="D13" s="11">
        <v>11</v>
      </c>
      <c r="E13" s="8" t="s">
        <v>72</v>
      </c>
      <c r="F13" s="9"/>
      <c r="G13" s="9"/>
    </row>
    <row r="14" spans="1:7" ht="15.6" customHeight="1" x14ac:dyDescent="0.2">
      <c r="D14" s="11">
        <v>12</v>
      </c>
      <c r="E14" s="8" t="s">
        <v>75</v>
      </c>
      <c r="F14" s="9"/>
      <c r="G14" s="9"/>
    </row>
    <row r="15" spans="1:7" ht="15.6" customHeight="1" x14ac:dyDescent="0.2">
      <c r="A15" s="1" t="s">
        <v>29</v>
      </c>
      <c r="D15" s="11">
        <v>13</v>
      </c>
      <c r="E15" s="8" t="s">
        <v>76</v>
      </c>
      <c r="F15" s="9"/>
      <c r="G15" s="9"/>
    </row>
    <row r="16" spans="1:7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9"/>
      <c r="G16" s="9"/>
    </row>
    <row r="17" spans="1:7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9"/>
      <c r="G17" s="9"/>
    </row>
    <row r="18" spans="1:7" x14ac:dyDescent="0.2">
      <c r="A18" t="s">
        <v>13</v>
      </c>
      <c r="B18" t="s">
        <v>95</v>
      </c>
    </row>
    <row r="19" spans="1:7" x14ac:dyDescent="0.2">
      <c r="A19" t="s">
        <v>14</v>
      </c>
      <c r="B19" t="s">
        <v>105</v>
      </c>
    </row>
    <row r="20" spans="1:7" x14ac:dyDescent="0.2">
      <c r="A20" t="s">
        <v>15</v>
      </c>
      <c r="B20" t="s">
        <v>562</v>
      </c>
    </row>
    <row r="21" spans="1:7" x14ac:dyDescent="0.2">
      <c r="A21" t="s">
        <v>16</v>
      </c>
      <c r="B21" t="s">
        <v>321</v>
      </c>
    </row>
    <row r="22" spans="1:7" x14ac:dyDescent="0.2">
      <c r="A22" t="s">
        <v>17</v>
      </c>
      <c r="B22" t="s">
        <v>47</v>
      </c>
    </row>
    <row r="23" spans="1:7" x14ac:dyDescent="0.2">
      <c r="A23" t="s">
        <v>18</v>
      </c>
      <c r="B23" t="s">
        <v>106</v>
      </c>
    </row>
    <row r="24" spans="1:7" x14ac:dyDescent="0.2">
      <c r="A24" t="s">
        <v>19</v>
      </c>
      <c r="B24" t="s">
        <v>86</v>
      </c>
    </row>
    <row r="25" spans="1:7" x14ac:dyDescent="0.2">
      <c r="A25" t="s">
        <v>20</v>
      </c>
      <c r="B25" t="s">
        <v>177</v>
      </c>
    </row>
    <row r="26" spans="1:7" x14ac:dyDescent="0.2">
      <c r="A26" t="s">
        <v>239</v>
      </c>
      <c r="B26" t="s">
        <v>107</v>
      </c>
    </row>
    <row r="27" spans="1:7" x14ac:dyDescent="0.2">
      <c r="A27" t="s">
        <v>237</v>
      </c>
      <c r="B27" t="s">
        <v>48</v>
      </c>
    </row>
    <row r="28" spans="1:7" x14ac:dyDescent="0.2">
      <c r="A28" t="s">
        <v>22</v>
      </c>
      <c r="B28" t="s">
        <v>48</v>
      </c>
    </row>
    <row r="29" spans="1:7" x14ac:dyDescent="0.2">
      <c r="A29" t="s">
        <v>23</v>
      </c>
      <c r="B29" t="s">
        <v>175</v>
      </c>
    </row>
    <row r="30" spans="1:7" x14ac:dyDescent="0.2">
      <c r="A30" t="s">
        <v>24</v>
      </c>
      <c r="B30" t="s">
        <v>176</v>
      </c>
    </row>
    <row r="31" spans="1:7" x14ac:dyDescent="0.2">
      <c r="A31" t="s">
        <v>25</v>
      </c>
      <c r="B31" t="s">
        <v>50</v>
      </c>
    </row>
    <row r="32" spans="1:7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225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38.25" x14ac:dyDescent="0.2">
      <c r="A39" s="3"/>
      <c r="B39" s="4" t="s">
        <v>210</v>
      </c>
    </row>
    <row r="40" spans="1:2" ht="51" x14ac:dyDescent="0.2">
      <c r="A40" s="3"/>
      <c r="B40" s="4" t="s">
        <v>231</v>
      </c>
    </row>
    <row r="41" spans="1:2" x14ac:dyDescent="0.2">
      <c r="A41" s="3"/>
      <c r="B41" s="4" t="s">
        <v>324</v>
      </c>
    </row>
    <row r="42" spans="1:2" x14ac:dyDescent="0.2">
      <c r="A42" s="3"/>
      <c r="B42" s="4" t="s">
        <v>355</v>
      </c>
    </row>
    <row r="43" spans="1:2" ht="25.5" x14ac:dyDescent="0.2">
      <c r="A43" s="3"/>
      <c r="B43" s="4" t="s">
        <v>356</v>
      </c>
    </row>
    <row r="44" spans="1:2" x14ac:dyDescent="0.2">
      <c r="A44" s="3"/>
      <c r="B44" s="4" t="s">
        <v>380</v>
      </c>
    </row>
    <row r="45" spans="1:2" ht="38.25" x14ac:dyDescent="0.2">
      <c r="A45" s="3" t="s">
        <v>1</v>
      </c>
      <c r="B45" s="4" t="s">
        <v>496</v>
      </c>
    </row>
    <row r="46" spans="1:2" ht="25.5" x14ac:dyDescent="0.2">
      <c r="A46" s="3" t="s">
        <v>1</v>
      </c>
      <c r="B46" s="4" t="s">
        <v>551</v>
      </c>
    </row>
    <row r="47" spans="1:2" ht="25.5" x14ac:dyDescent="0.2">
      <c r="A47" s="3" t="s">
        <v>1</v>
      </c>
      <c r="B47" s="4" t="s">
        <v>497</v>
      </c>
    </row>
  </sheetData>
  <dataValidations disablePrompts="1" count="5">
    <dataValidation type="list" allowBlank="1" showInputMessage="1" showErrorMessage="1" sqref="B6" xr:uid="{D799B851-4CF2-4562-9F57-0DA63D59AC38}">
      <formula1>"CWE ≤ ECC, CWE ≥ ECC, CWE ? ECC"</formula1>
    </dataValidation>
    <dataValidation type="list" allowBlank="1" showInputMessage="1" sqref="B7" xr:uid="{21EA74BC-0A41-4A2F-8260-E5DF5401285C}">
      <formula1>"Yes, No, Unknown"</formula1>
    </dataValidation>
    <dataValidation type="list" allowBlank="1" showInputMessage="1" sqref="B8" xr:uid="{8A14997C-B30E-42AE-BD9E-0CF0F001B00B}">
      <formula1>"MILCON, SRM, O&amp;M, Host Nation, Other"</formula1>
    </dataValidation>
    <dataValidation type="list" allowBlank="1" showInputMessage="1" sqref="B9:B10" xr:uid="{0FF2C6C3-A7E5-4BBC-B861-6D1BC236C9E5}">
      <formula1>"Army, Air Force, Navy, Marines, DPW, DLA, DoDEA"</formula1>
    </dataValidation>
    <dataValidation type="list" allowBlank="1" showInputMessage="1" sqref="B11" xr:uid="{CAFFECC9-7CDC-4D73-9351-BBCD75B06304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968D6-CFB3-4608-AFDD-73DD67668B90}">
  <sheetPr codeName="Sheet26"/>
  <dimension ref="A1:H40"/>
  <sheetViews>
    <sheetView showGridLines="0" workbookViewId="0">
      <selection activeCell="D25" sqref="D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  <col min="8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  <c r="H2"/>
    </row>
    <row r="3" spans="1:8" ht="15.6" customHeight="1" x14ac:dyDescent="0.2">
      <c r="A3" s="2" t="s">
        <v>4</v>
      </c>
      <c r="B3" s="2" t="s">
        <v>506</v>
      </c>
      <c r="D3" s="12">
        <v>1</v>
      </c>
      <c r="E3" s="13" t="s">
        <v>66</v>
      </c>
      <c r="F3" s="14" t="s">
        <v>515</v>
      </c>
      <c r="G3" s="14"/>
      <c r="H3"/>
    </row>
    <row r="4" spans="1:8" ht="15.6" customHeight="1" x14ac:dyDescent="0.2">
      <c r="A4" s="2" t="s">
        <v>5</v>
      </c>
      <c r="B4" s="2">
        <v>567778</v>
      </c>
      <c r="D4" s="11">
        <v>2</v>
      </c>
      <c r="E4" s="8" t="s">
        <v>67</v>
      </c>
      <c r="F4" s="9"/>
      <c r="G4" s="9"/>
      <c r="H4"/>
    </row>
    <row r="5" spans="1:8" ht="15.6" customHeight="1" x14ac:dyDescent="0.2">
      <c r="A5" s="2" t="s">
        <v>6</v>
      </c>
      <c r="B5" s="2" t="s">
        <v>282</v>
      </c>
      <c r="D5" s="11">
        <v>3</v>
      </c>
      <c r="E5" s="8" t="s">
        <v>68</v>
      </c>
      <c r="F5" s="9"/>
      <c r="G5" s="9"/>
      <c r="H5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/>
    </row>
    <row r="9" spans="1:8" ht="15.6" customHeight="1" x14ac:dyDescent="0.2">
      <c r="A9" s="2" t="s">
        <v>32</v>
      </c>
      <c r="B9" s="2" t="s">
        <v>103</v>
      </c>
      <c r="D9" s="11">
        <v>7</v>
      </c>
      <c r="E9" s="8" t="s">
        <v>72</v>
      </c>
      <c r="F9" s="9"/>
      <c r="G9" s="9"/>
      <c r="H9"/>
    </row>
    <row r="10" spans="1:8" ht="15.6" customHeight="1" x14ac:dyDescent="0.2">
      <c r="A10" s="2" t="s">
        <v>216</v>
      </c>
      <c r="B10" s="2" t="s">
        <v>221</v>
      </c>
      <c r="D10" s="11">
        <v>8</v>
      </c>
      <c r="E10" s="8" t="s">
        <v>73</v>
      </c>
      <c r="F10" s="9"/>
      <c r="G10" s="9"/>
      <c r="H10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/>
      <c r="H12"/>
    </row>
    <row r="13" spans="1:8" ht="15.6" customHeight="1" x14ac:dyDescent="0.2">
      <c r="A13" s="2" t="s">
        <v>529</v>
      </c>
      <c r="B13" s="2" t="s">
        <v>537</v>
      </c>
      <c r="D13" s="11">
        <v>11</v>
      </c>
      <c r="E13" s="8" t="s">
        <v>72</v>
      </c>
      <c r="F13" s="9"/>
      <c r="G13" s="9"/>
      <c r="H13"/>
    </row>
    <row r="14" spans="1:8" ht="15.6" customHeight="1" x14ac:dyDescent="0.2">
      <c r="D14" s="11">
        <v>12</v>
      </c>
      <c r="E14" s="8" t="s">
        <v>75</v>
      </c>
      <c r="F14" s="9"/>
      <c r="G14" s="9"/>
      <c r="H14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/>
      <c r="G15" s="9"/>
      <c r="H15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9"/>
      <c r="G16" s="9"/>
      <c r="H16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9"/>
      <c r="G17" s="9"/>
      <c r="H17"/>
    </row>
    <row r="18" spans="1:8" x14ac:dyDescent="0.2">
      <c r="A18" t="s">
        <v>13</v>
      </c>
      <c r="B18" t="s">
        <v>370</v>
      </c>
    </row>
    <row r="19" spans="1:8" x14ac:dyDescent="0.2">
      <c r="A19" t="s">
        <v>14</v>
      </c>
      <c r="B19" t="s">
        <v>168</v>
      </c>
    </row>
    <row r="20" spans="1:8" x14ac:dyDescent="0.2">
      <c r="A20" t="s">
        <v>15</v>
      </c>
      <c r="B20" t="s">
        <v>507</v>
      </c>
    </row>
    <row r="21" spans="1:8" x14ac:dyDescent="0.2">
      <c r="A21" t="s">
        <v>16</v>
      </c>
      <c r="B21" t="s">
        <v>80</v>
      </c>
    </row>
    <row r="22" spans="1:8" x14ac:dyDescent="0.2">
      <c r="A22" t="s">
        <v>17</v>
      </c>
      <c r="B22" t="s">
        <v>80</v>
      </c>
    </row>
    <row r="23" spans="1:8" x14ac:dyDescent="0.2">
      <c r="A23" t="s">
        <v>18</v>
      </c>
      <c r="B23" t="s">
        <v>80</v>
      </c>
    </row>
    <row r="24" spans="1:8" x14ac:dyDescent="0.2">
      <c r="A24" t="s">
        <v>19</v>
      </c>
      <c r="B24" t="s">
        <v>80</v>
      </c>
    </row>
    <row r="25" spans="1:8" x14ac:dyDescent="0.2">
      <c r="A25" t="s">
        <v>20</v>
      </c>
      <c r="B25" t="s">
        <v>80</v>
      </c>
    </row>
    <row r="26" spans="1:8" x14ac:dyDescent="0.2">
      <c r="A26" t="s">
        <v>239</v>
      </c>
      <c r="B26" t="s">
        <v>80</v>
      </c>
    </row>
    <row r="27" spans="1:8" x14ac:dyDescent="0.2">
      <c r="A27" t="s">
        <v>237</v>
      </c>
      <c r="B27" t="s">
        <v>80</v>
      </c>
    </row>
    <row r="28" spans="1:8" x14ac:dyDescent="0.2">
      <c r="A28" t="s">
        <v>22</v>
      </c>
      <c r="B28" t="s">
        <v>80</v>
      </c>
    </row>
    <row r="29" spans="1:8" x14ac:dyDescent="0.2">
      <c r="A29" t="s">
        <v>23</v>
      </c>
      <c r="B29" t="s">
        <v>175</v>
      </c>
    </row>
    <row r="30" spans="1:8" x14ac:dyDescent="0.2">
      <c r="A30" t="s">
        <v>24</v>
      </c>
      <c r="B30" t="s">
        <v>48</v>
      </c>
    </row>
    <row r="31" spans="1:8" x14ac:dyDescent="0.2">
      <c r="A31" t="s">
        <v>25</v>
      </c>
      <c r="B31" t="s">
        <v>50</v>
      </c>
    </row>
    <row r="32" spans="1:8" x14ac:dyDescent="0.2">
      <c r="A32" t="s">
        <v>30</v>
      </c>
      <c r="B32" t="s">
        <v>508</v>
      </c>
    </row>
    <row r="33" spans="1:2" x14ac:dyDescent="0.2">
      <c r="A33" t="s">
        <v>26</v>
      </c>
      <c r="B33" t="s">
        <v>80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225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 t="s">
        <v>1</v>
      </c>
      <c r="B39" s="4" t="s">
        <v>509</v>
      </c>
    </row>
    <row r="40" spans="1:2" x14ac:dyDescent="0.2">
      <c r="A40" s="3" t="s">
        <v>1</v>
      </c>
      <c r="B40" s="4" t="s">
        <v>510</v>
      </c>
    </row>
  </sheetData>
  <dataValidations count="5">
    <dataValidation type="list" allowBlank="1" showInputMessage="1" sqref="B11" xr:uid="{23C1D03F-5B6C-43A0-ACF4-AAD94C60F5BC}">
      <formula1>"DBB, DB"</formula1>
    </dataValidation>
    <dataValidation type="list" allowBlank="1" showInputMessage="1" sqref="B9:B10" xr:uid="{9CB06B69-5986-4568-81B8-FA68E797A519}">
      <formula1>"Army, Air Force, Navy, Marines, DPW, DLA, DoDEA"</formula1>
    </dataValidation>
    <dataValidation type="list" allowBlank="1" showInputMessage="1" sqref="B8" xr:uid="{F50626F0-81B8-4D01-B2DC-206B01AE1129}">
      <formula1>"MILCON, SRM, O&amp;M, Host Nation, Other"</formula1>
    </dataValidation>
    <dataValidation type="list" allowBlank="1" showInputMessage="1" sqref="B7" xr:uid="{DA1C8FA5-8AE8-4448-8E0C-76B3CF7A36E7}">
      <formula1>"Yes, No, Unknown"</formula1>
    </dataValidation>
    <dataValidation type="list" allowBlank="1" showInputMessage="1" showErrorMessage="1" sqref="B6" xr:uid="{2A1E939B-F40F-4DC2-9994-990D621107ED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4E248-307C-4809-9025-477AA37C778B}">
  <sheetPr codeName="Sheet8"/>
  <dimension ref="A1:G51"/>
  <sheetViews>
    <sheetView showGridLines="0" topLeftCell="A31" workbookViewId="0">
      <selection activeCell="K57" sqref="K5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481</v>
      </c>
      <c r="D3" s="29">
        <v>1</v>
      </c>
      <c r="E3" s="30" t="s">
        <v>66</v>
      </c>
      <c r="F3" s="31"/>
      <c r="G3" s="31"/>
    </row>
    <row r="4" spans="1:7" ht="15.6" customHeight="1" x14ac:dyDescent="0.2">
      <c r="A4" s="2" t="s">
        <v>5</v>
      </c>
      <c r="B4" s="2">
        <v>502505</v>
      </c>
      <c r="D4" s="35">
        <v>2</v>
      </c>
      <c r="E4" s="36" t="s">
        <v>67</v>
      </c>
      <c r="F4" s="37"/>
      <c r="G4" s="37"/>
    </row>
    <row r="5" spans="1:7" ht="15.6" customHeight="1" x14ac:dyDescent="0.2">
      <c r="A5" s="2" t="s">
        <v>6</v>
      </c>
      <c r="B5" s="2" t="s">
        <v>104</v>
      </c>
      <c r="D5" s="29">
        <v>3</v>
      </c>
      <c r="E5" s="30" t="s">
        <v>68</v>
      </c>
      <c r="F5" s="31"/>
      <c r="G5" s="31"/>
    </row>
    <row r="6" spans="1:7" ht="15.6" customHeight="1" x14ac:dyDescent="0.2">
      <c r="A6" s="2" t="s">
        <v>7</v>
      </c>
      <c r="B6" s="2" t="s">
        <v>38</v>
      </c>
      <c r="D6" s="35">
        <v>4</v>
      </c>
      <c r="E6" s="36" t="s">
        <v>69</v>
      </c>
      <c r="F6" s="37"/>
      <c r="G6" s="37"/>
    </row>
    <row r="7" spans="1:7" ht="15.6" customHeight="1" x14ac:dyDescent="0.2">
      <c r="A7" s="2" t="s">
        <v>8</v>
      </c>
      <c r="B7" s="2" t="s">
        <v>39</v>
      </c>
      <c r="D7" s="29">
        <v>5</v>
      </c>
      <c r="E7" s="30" t="s">
        <v>70</v>
      </c>
      <c r="F7" s="31"/>
      <c r="G7" s="31"/>
    </row>
    <row r="8" spans="1:7" ht="15.6" customHeight="1" x14ac:dyDescent="0.2">
      <c r="A8" s="2" t="s">
        <v>33</v>
      </c>
      <c r="B8" s="2" t="s">
        <v>82</v>
      </c>
      <c r="D8" s="35">
        <v>6</v>
      </c>
      <c r="E8" s="36" t="s">
        <v>71</v>
      </c>
      <c r="F8" s="37"/>
      <c r="G8" s="37"/>
    </row>
    <row r="9" spans="1:7" ht="15.6" customHeight="1" x14ac:dyDescent="0.2">
      <c r="A9" s="2" t="s">
        <v>32</v>
      </c>
      <c r="B9" s="2" t="s">
        <v>103</v>
      </c>
      <c r="D9" s="29">
        <v>7</v>
      </c>
      <c r="E9" s="30" t="s">
        <v>72</v>
      </c>
      <c r="F9" s="31"/>
      <c r="G9" s="31"/>
    </row>
    <row r="10" spans="1:7" ht="15.6" customHeight="1" x14ac:dyDescent="0.2">
      <c r="A10" s="2" t="s">
        <v>216</v>
      </c>
      <c r="B10" s="2" t="s">
        <v>502</v>
      </c>
      <c r="D10" s="35">
        <v>8</v>
      </c>
      <c r="E10" s="36" t="s">
        <v>73</v>
      </c>
      <c r="F10" s="37"/>
      <c r="G10" s="37"/>
    </row>
    <row r="11" spans="1:7" ht="15.6" customHeight="1" x14ac:dyDescent="0.2">
      <c r="A11" s="2" t="s">
        <v>34</v>
      </c>
      <c r="B11" s="2" t="s">
        <v>41</v>
      </c>
      <c r="D11" s="29">
        <v>9</v>
      </c>
      <c r="E11" s="30" t="s">
        <v>72</v>
      </c>
      <c r="F11" s="31"/>
      <c r="G11" s="31"/>
    </row>
    <row r="12" spans="1:7" ht="15.6" customHeight="1" x14ac:dyDescent="0.2">
      <c r="A12" s="2" t="s">
        <v>35</v>
      </c>
      <c r="B12" s="2"/>
      <c r="D12" s="35">
        <v>10</v>
      </c>
      <c r="E12" s="36" t="s">
        <v>74</v>
      </c>
      <c r="F12" s="37"/>
      <c r="G12" s="37">
        <v>45440</v>
      </c>
    </row>
    <row r="13" spans="1:7" ht="15.6" customHeight="1" x14ac:dyDescent="0.2">
      <c r="A13" s="2" t="s">
        <v>529</v>
      </c>
      <c r="B13" s="2" t="s">
        <v>536</v>
      </c>
      <c r="D13" s="29">
        <v>11</v>
      </c>
      <c r="E13" s="30" t="s">
        <v>72</v>
      </c>
      <c r="F13" s="31">
        <v>45471</v>
      </c>
      <c r="G13" s="31"/>
    </row>
    <row r="14" spans="1:7" ht="15.6" customHeight="1" x14ac:dyDescent="0.2">
      <c r="D14" s="35">
        <v>12</v>
      </c>
      <c r="E14" s="36" t="s">
        <v>75</v>
      </c>
      <c r="F14" s="37"/>
      <c r="G14" s="37">
        <v>45503</v>
      </c>
    </row>
    <row r="15" spans="1:7" ht="15.6" customHeight="1" x14ac:dyDescent="0.2">
      <c r="A15" s="1" t="s">
        <v>29</v>
      </c>
      <c r="D15" s="12">
        <v>13</v>
      </c>
      <c r="E15" s="13" t="s">
        <v>76</v>
      </c>
      <c r="F15" s="14" t="s">
        <v>554</v>
      </c>
      <c r="G15" s="14"/>
    </row>
    <row r="16" spans="1:7" ht="15.6" customHeight="1" x14ac:dyDescent="0.2">
      <c r="A16" t="s">
        <v>11</v>
      </c>
      <c r="B16" t="s">
        <v>28</v>
      </c>
      <c r="D16" s="11">
        <v>14</v>
      </c>
      <c r="E16" s="8" t="s">
        <v>501</v>
      </c>
      <c r="F16" s="9">
        <v>45747</v>
      </c>
      <c r="G16" s="9"/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95</v>
      </c>
    </row>
    <row r="19" spans="1:2" x14ac:dyDescent="0.2">
      <c r="A19" t="s">
        <v>14</v>
      </c>
      <c r="B19" t="s">
        <v>85</v>
      </c>
    </row>
    <row r="20" spans="1:2" x14ac:dyDescent="0.2">
      <c r="A20" t="s">
        <v>15</v>
      </c>
      <c r="B20" t="s">
        <v>45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101</v>
      </c>
    </row>
    <row r="23" spans="1:2" x14ac:dyDescent="0.2">
      <c r="A23" t="s">
        <v>18</v>
      </c>
      <c r="B23" t="s">
        <v>48</v>
      </c>
    </row>
    <row r="24" spans="1:2" x14ac:dyDescent="0.2">
      <c r="A24" t="s">
        <v>19</v>
      </c>
      <c r="B24" t="s">
        <v>48</v>
      </c>
    </row>
    <row r="25" spans="1:2" x14ac:dyDescent="0.2">
      <c r="A25" t="s">
        <v>20</v>
      </c>
      <c r="B25" t="s">
        <v>48</v>
      </c>
    </row>
    <row r="26" spans="1:2" x14ac:dyDescent="0.2">
      <c r="A26" t="s">
        <v>239</v>
      </c>
      <c r="B26" t="s">
        <v>48</v>
      </c>
    </row>
    <row r="27" spans="1:2" x14ac:dyDescent="0.2">
      <c r="A27" t="s">
        <v>237</v>
      </c>
      <c r="B27" t="s">
        <v>48</v>
      </c>
    </row>
    <row r="28" spans="1:2" x14ac:dyDescent="0.2">
      <c r="A28" t="s">
        <v>22</v>
      </c>
      <c r="B28" t="s">
        <v>48</v>
      </c>
    </row>
    <row r="29" spans="1:2" x14ac:dyDescent="0.2">
      <c r="A29" t="s">
        <v>23</v>
      </c>
      <c r="B29" t="s">
        <v>48</v>
      </c>
    </row>
    <row r="30" spans="1:2" x14ac:dyDescent="0.2">
      <c r="A30" t="s">
        <v>24</v>
      </c>
      <c r="B30" t="s">
        <v>48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48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503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232</v>
      </c>
    </row>
    <row r="40" spans="1:2" ht="25.5" x14ac:dyDescent="0.2">
      <c r="A40" s="3"/>
      <c r="B40" s="4" t="s">
        <v>297</v>
      </c>
    </row>
    <row r="41" spans="1:2" x14ac:dyDescent="0.2">
      <c r="A41" s="3"/>
      <c r="B41" s="4" t="s">
        <v>325</v>
      </c>
    </row>
    <row r="42" spans="1:2" ht="25.5" x14ac:dyDescent="0.2">
      <c r="A42" s="3"/>
      <c r="B42" s="4" t="s">
        <v>326</v>
      </c>
    </row>
    <row r="43" spans="1:2" ht="25.5" x14ac:dyDescent="0.2">
      <c r="A43" s="3"/>
      <c r="B43" s="4" t="s">
        <v>357</v>
      </c>
    </row>
    <row r="44" spans="1:2" ht="25.5" x14ac:dyDescent="0.2">
      <c r="A44" s="3"/>
      <c r="B44" s="4" t="s">
        <v>381</v>
      </c>
    </row>
    <row r="45" spans="1:2" ht="25.5" x14ac:dyDescent="0.2">
      <c r="A45" s="3"/>
      <c r="B45" s="4" t="s">
        <v>440</v>
      </c>
    </row>
    <row r="46" spans="1:2" ht="38.25" x14ac:dyDescent="0.2">
      <c r="A46" s="3"/>
      <c r="B46" s="4" t="s">
        <v>467</v>
      </c>
    </row>
    <row r="47" spans="1:2" x14ac:dyDescent="0.2">
      <c r="A47" s="3" t="s">
        <v>1</v>
      </c>
      <c r="B47" s="4" t="s">
        <v>498</v>
      </c>
    </row>
    <row r="48" spans="1:2" x14ac:dyDescent="0.2">
      <c r="A48" s="3"/>
      <c r="B48" s="4" t="s">
        <v>499</v>
      </c>
    </row>
    <row r="49" spans="1:2" x14ac:dyDescent="0.2">
      <c r="A49" s="3"/>
      <c r="B49" s="4" t="s">
        <v>500</v>
      </c>
    </row>
    <row r="50" spans="1:2" x14ac:dyDescent="0.2">
      <c r="A50" s="3" t="s">
        <v>1</v>
      </c>
      <c r="B50" s="4" t="s">
        <v>552</v>
      </c>
    </row>
    <row r="51" spans="1:2" ht="38.25" x14ac:dyDescent="0.2">
      <c r="A51" s="3" t="s">
        <v>1</v>
      </c>
      <c r="B51" s="4" t="s">
        <v>553</v>
      </c>
    </row>
  </sheetData>
  <dataValidations disablePrompts="1" count="5">
    <dataValidation type="list" allowBlank="1" showInputMessage="1" showErrorMessage="1" sqref="B6" xr:uid="{834C0791-2716-42E7-9050-A93B29D2AA43}">
      <formula1>"CWE ≤ ECC, CWE ≥ ECC, CWE ? ECC"</formula1>
    </dataValidation>
    <dataValidation type="list" allowBlank="1" showInputMessage="1" sqref="B7" xr:uid="{DDBA7832-12D5-499E-A151-F03F8DA0DEC1}">
      <formula1>"Yes, No, Unknown"</formula1>
    </dataValidation>
    <dataValidation type="list" allowBlank="1" showInputMessage="1" sqref="B8" xr:uid="{69A92D5A-5589-46BA-900F-0FEE4A14DC25}">
      <formula1>"MILCON, SRM, O&amp;M, Host Nation, Other"</formula1>
    </dataValidation>
    <dataValidation type="list" allowBlank="1" showInputMessage="1" sqref="B9:B10" xr:uid="{CF3EE083-B385-401A-A893-41633B295EF9}">
      <formula1>"Army, Air Force, Navy, Marines, DPW, DLA, DoDEA"</formula1>
    </dataValidation>
    <dataValidation type="list" allowBlank="1" showInputMessage="1" sqref="B11" xr:uid="{8E94DE6A-2A90-4E62-8B4A-42C808F03EF6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54858-AF97-4DD3-AE94-C95ECC632942}">
  <sheetPr codeName="Sheet9"/>
  <dimension ref="A1:H70"/>
  <sheetViews>
    <sheetView showGridLines="0" topLeftCell="A59" workbookViewId="0">
      <selection activeCell="A71" sqref="A71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482</v>
      </c>
      <c r="D3" s="29">
        <v>1</v>
      </c>
      <c r="E3" s="30" t="s">
        <v>66</v>
      </c>
      <c r="F3" s="31">
        <v>45201</v>
      </c>
      <c r="G3" s="31"/>
      <c r="H3" s="31"/>
    </row>
    <row r="4" spans="1:8" ht="15.6" customHeight="1" x14ac:dyDescent="0.2">
      <c r="A4" s="2" t="s">
        <v>5</v>
      </c>
      <c r="B4" s="2">
        <v>515138</v>
      </c>
      <c r="D4" s="35">
        <v>2</v>
      </c>
      <c r="E4" s="36" t="s">
        <v>197</v>
      </c>
      <c r="F4" s="37" t="s">
        <v>198</v>
      </c>
      <c r="G4" s="37"/>
      <c r="H4" s="37"/>
    </row>
    <row r="5" spans="1:8" ht="15.6" customHeight="1" x14ac:dyDescent="0.2">
      <c r="A5" s="2" t="s">
        <v>6</v>
      </c>
      <c r="B5" s="42" t="s">
        <v>315</v>
      </c>
      <c r="D5" s="29">
        <v>3</v>
      </c>
      <c r="E5" s="30" t="s">
        <v>199</v>
      </c>
      <c r="F5" s="31"/>
      <c r="G5" s="31"/>
      <c r="H5" s="31"/>
    </row>
    <row r="6" spans="1:8" ht="15.6" customHeight="1" x14ac:dyDescent="0.2">
      <c r="A6" s="2" t="s">
        <v>7</v>
      </c>
      <c r="B6" s="2" t="s">
        <v>38</v>
      </c>
      <c r="D6" s="35">
        <v>4</v>
      </c>
      <c r="E6" s="36" t="s">
        <v>200</v>
      </c>
      <c r="F6" s="37">
        <v>45348</v>
      </c>
      <c r="G6" s="37">
        <v>45351</v>
      </c>
      <c r="H6" s="37">
        <v>45365</v>
      </c>
    </row>
    <row r="7" spans="1:8" ht="15.6" customHeight="1" x14ac:dyDescent="0.2">
      <c r="A7" s="2" t="s">
        <v>8</v>
      </c>
      <c r="B7" s="2" t="s">
        <v>39</v>
      </c>
      <c r="D7" s="29">
        <v>5</v>
      </c>
      <c r="E7" s="30" t="s">
        <v>72</v>
      </c>
      <c r="F7" s="31">
        <v>45370</v>
      </c>
      <c r="G7" s="31"/>
      <c r="H7" s="31"/>
    </row>
    <row r="8" spans="1:8" ht="15.6" customHeight="1" x14ac:dyDescent="0.2">
      <c r="A8" s="2" t="s">
        <v>33</v>
      </c>
      <c r="B8" s="2" t="s">
        <v>82</v>
      </c>
      <c r="D8" s="35">
        <v>10</v>
      </c>
      <c r="E8" s="36" t="s">
        <v>164</v>
      </c>
      <c r="F8" s="37">
        <v>45398</v>
      </c>
      <c r="G8" s="37">
        <v>45398</v>
      </c>
      <c r="H8" s="37">
        <v>45405</v>
      </c>
    </row>
    <row r="9" spans="1:8" ht="15.6" customHeight="1" x14ac:dyDescent="0.2">
      <c r="A9" s="2" t="s">
        <v>32</v>
      </c>
      <c r="B9" s="2" t="s">
        <v>98</v>
      </c>
      <c r="D9" s="29">
        <v>11</v>
      </c>
      <c r="E9" s="30" t="s">
        <v>72</v>
      </c>
      <c r="F9" s="31">
        <v>45433</v>
      </c>
      <c r="G9" s="31"/>
      <c r="H9" s="31"/>
    </row>
    <row r="10" spans="1:8" ht="15.6" customHeight="1" x14ac:dyDescent="0.2">
      <c r="A10" s="2" t="s">
        <v>216</v>
      </c>
      <c r="B10" s="2" t="s">
        <v>222</v>
      </c>
      <c r="D10" s="35">
        <v>12</v>
      </c>
      <c r="E10" s="36" t="s">
        <v>75</v>
      </c>
      <c r="F10" s="37"/>
      <c r="G10" s="37"/>
      <c r="H10" s="37"/>
    </row>
    <row r="11" spans="1:8" ht="15.6" customHeight="1" x14ac:dyDescent="0.2">
      <c r="A11" s="2" t="s">
        <v>34</v>
      </c>
      <c r="B11" s="2" t="s">
        <v>109</v>
      </c>
      <c r="D11" s="29">
        <v>13</v>
      </c>
      <c r="E11" s="30" t="s">
        <v>76</v>
      </c>
      <c r="F11" s="31" t="s">
        <v>469</v>
      </c>
      <c r="G11" s="31"/>
      <c r="H11" s="31"/>
    </row>
    <row r="12" spans="1:8" ht="15.6" customHeight="1" x14ac:dyDescent="0.2">
      <c r="A12" s="2" t="s">
        <v>35</v>
      </c>
      <c r="B12" s="2" t="s">
        <v>186</v>
      </c>
      <c r="D12" s="12">
        <v>14</v>
      </c>
      <c r="E12" s="13" t="s">
        <v>77</v>
      </c>
      <c r="F12" s="43" t="s">
        <v>469</v>
      </c>
      <c r="G12" s="14"/>
      <c r="H12" s="14"/>
    </row>
    <row r="13" spans="1:8" ht="15.6" customHeight="1" x14ac:dyDescent="0.2">
      <c r="A13" s="2" t="s">
        <v>529</v>
      </c>
      <c r="B13" s="2" t="s">
        <v>534</v>
      </c>
      <c r="D13" s="11">
        <v>15</v>
      </c>
      <c r="E13" s="8" t="s">
        <v>471</v>
      </c>
      <c r="F13" s="9" t="s">
        <v>80</v>
      </c>
      <c r="G13" s="9"/>
      <c r="H13" s="9"/>
    </row>
    <row r="14" spans="1:8" ht="15.6" customHeight="1" x14ac:dyDescent="0.2"/>
    <row r="15" spans="1:8" ht="15.6" customHeight="1" x14ac:dyDescent="0.2">
      <c r="A15" s="1" t="s">
        <v>29</v>
      </c>
    </row>
    <row r="16" spans="1:8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370</v>
      </c>
    </row>
    <row r="19" spans="1:2" x14ac:dyDescent="0.2">
      <c r="A19" t="s">
        <v>14</v>
      </c>
      <c r="B19" t="s">
        <v>48</v>
      </c>
    </row>
    <row r="20" spans="1:2" x14ac:dyDescent="0.2">
      <c r="A20" t="s">
        <v>15</v>
      </c>
      <c r="B20" t="s">
        <v>48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431</v>
      </c>
    </row>
    <row r="24" spans="1:2" x14ac:dyDescent="0.2">
      <c r="A24" t="s">
        <v>19</v>
      </c>
      <c r="B24" t="s">
        <v>111</v>
      </c>
    </row>
    <row r="25" spans="1:2" x14ac:dyDescent="0.2">
      <c r="A25" t="s">
        <v>20</v>
      </c>
      <c r="B25" t="s">
        <v>112</v>
      </c>
    </row>
    <row r="26" spans="1:2" x14ac:dyDescent="0.2">
      <c r="A26" t="s">
        <v>239</v>
      </c>
      <c r="B26" t="s">
        <v>49</v>
      </c>
    </row>
    <row r="27" spans="1:2" x14ac:dyDescent="0.2">
      <c r="A27" t="s">
        <v>237</v>
      </c>
      <c r="B27" t="s">
        <v>112</v>
      </c>
    </row>
    <row r="28" spans="1:2" x14ac:dyDescent="0.2">
      <c r="A28" t="s">
        <v>22</v>
      </c>
      <c r="B28" t="s">
        <v>112</v>
      </c>
    </row>
    <row r="29" spans="1:2" x14ac:dyDescent="0.2">
      <c r="A29" t="s">
        <v>23</v>
      </c>
      <c r="B29" t="s">
        <v>175</v>
      </c>
    </row>
    <row r="30" spans="1:2" x14ac:dyDescent="0.2">
      <c r="A30" t="s">
        <v>24</v>
      </c>
      <c r="B30" t="s">
        <v>176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369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503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157</v>
      </c>
    </row>
    <row r="40" spans="1:2" x14ac:dyDescent="0.2">
      <c r="A40" s="3"/>
      <c r="B40" s="4" t="s">
        <v>158</v>
      </c>
    </row>
    <row r="41" spans="1:2" x14ac:dyDescent="0.2">
      <c r="A41" s="3"/>
      <c r="B41" s="4" t="s">
        <v>159</v>
      </c>
    </row>
    <row r="42" spans="1:2" ht="25.5" x14ac:dyDescent="0.2">
      <c r="A42" s="3"/>
      <c r="B42" s="4" t="s">
        <v>160</v>
      </c>
    </row>
    <row r="43" spans="1:2" x14ac:dyDescent="0.2">
      <c r="A43" s="3"/>
      <c r="B43" s="4" t="s">
        <v>162</v>
      </c>
    </row>
    <row r="44" spans="1:2" x14ac:dyDescent="0.2">
      <c r="A44" s="3"/>
      <c r="B44" s="4" t="s">
        <v>161</v>
      </c>
    </row>
    <row r="45" spans="1:2" x14ac:dyDescent="0.2">
      <c r="A45" s="3"/>
      <c r="B45" s="4" t="s">
        <v>163</v>
      </c>
    </row>
    <row r="46" spans="1:2" ht="25.5" x14ac:dyDescent="0.2">
      <c r="A46" s="3"/>
      <c r="B46" s="4" t="s">
        <v>233</v>
      </c>
    </row>
    <row r="47" spans="1:2" ht="25.5" x14ac:dyDescent="0.2">
      <c r="A47" s="3"/>
      <c r="B47" s="4" t="s">
        <v>261</v>
      </c>
    </row>
    <row r="48" spans="1:2" x14ac:dyDescent="0.2">
      <c r="A48" s="3"/>
      <c r="B48" s="4" t="s">
        <v>298</v>
      </c>
    </row>
    <row r="49" spans="1:2" ht="25.5" x14ac:dyDescent="0.2">
      <c r="A49" s="3"/>
      <c r="B49" s="4" t="s">
        <v>299</v>
      </c>
    </row>
    <row r="50" spans="1:2" ht="38.25" x14ac:dyDescent="0.2">
      <c r="A50" s="3"/>
      <c r="B50" s="4" t="s">
        <v>304</v>
      </c>
    </row>
    <row r="51" spans="1:2" x14ac:dyDescent="0.2">
      <c r="A51" s="3"/>
      <c r="B51" s="4" t="s">
        <v>331</v>
      </c>
    </row>
    <row r="52" spans="1:2" x14ac:dyDescent="0.2">
      <c r="A52" s="3"/>
      <c r="B52" s="4" t="s">
        <v>327</v>
      </c>
    </row>
    <row r="53" spans="1:2" x14ac:dyDescent="0.2">
      <c r="A53" s="3"/>
      <c r="B53" s="4" t="s">
        <v>328</v>
      </c>
    </row>
    <row r="54" spans="1:2" ht="38.25" x14ac:dyDescent="0.2">
      <c r="A54" s="3"/>
      <c r="B54" s="4" t="s">
        <v>329</v>
      </c>
    </row>
    <row r="55" spans="1:2" ht="25.5" x14ac:dyDescent="0.2">
      <c r="A55" s="3"/>
      <c r="B55" s="4" t="s">
        <v>330</v>
      </c>
    </row>
    <row r="56" spans="1:2" x14ac:dyDescent="0.2">
      <c r="A56" s="3"/>
      <c r="B56" s="4" t="s">
        <v>358</v>
      </c>
    </row>
    <row r="57" spans="1:2" ht="25.5" x14ac:dyDescent="0.2">
      <c r="A57" s="3"/>
      <c r="B57" s="4" t="s">
        <v>359</v>
      </c>
    </row>
    <row r="58" spans="1:2" x14ac:dyDescent="0.2">
      <c r="A58" s="3"/>
      <c r="B58" s="4" t="s">
        <v>360</v>
      </c>
    </row>
    <row r="59" spans="1:2" ht="51" x14ac:dyDescent="0.2">
      <c r="A59" s="3"/>
      <c r="B59" s="4" t="s">
        <v>382</v>
      </c>
    </row>
    <row r="60" spans="1:2" ht="25.5" x14ac:dyDescent="0.2">
      <c r="A60" s="3"/>
      <c r="B60" s="4" t="s">
        <v>423</v>
      </c>
    </row>
    <row r="61" spans="1:2" x14ac:dyDescent="0.2">
      <c r="A61" s="3"/>
      <c r="B61" s="4" t="s">
        <v>441</v>
      </c>
    </row>
    <row r="62" spans="1:2" ht="25.5" x14ac:dyDescent="0.2">
      <c r="A62" s="3"/>
      <c r="B62" s="4" t="s">
        <v>468</v>
      </c>
    </row>
    <row r="63" spans="1:2" ht="38.25" x14ac:dyDescent="0.2">
      <c r="A63" s="3"/>
      <c r="B63" s="4" t="s">
        <v>470</v>
      </c>
    </row>
    <row r="64" spans="1:2" x14ac:dyDescent="0.2">
      <c r="A64" s="3" t="s">
        <v>1</v>
      </c>
      <c r="B64" s="4" t="s">
        <v>528</v>
      </c>
    </row>
    <row r="65" spans="1:2" ht="25.5" x14ac:dyDescent="0.2">
      <c r="A65" s="3" t="s">
        <v>1</v>
      </c>
      <c r="B65" s="4" t="s">
        <v>526</v>
      </c>
    </row>
    <row r="66" spans="1:2" x14ac:dyDescent="0.2">
      <c r="A66" s="3" t="s">
        <v>1</v>
      </c>
      <c r="B66" s="4" t="s">
        <v>525</v>
      </c>
    </row>
    <row r="67" spans="1:2" ht="38.25" x14ac:dyDescent="0.2">
      <c r="A67" s="3" t="s">
        <v>1</v>
      </c>
      <c r="B67" s="4" t="s">
        <v>535</v>
      </c>
    </row>
    <row r="68" spans="1:2" x14ac:dyDescent="0.2">
      <c r="A68" s="3" t="s">
        <v>1</v>
      </c>
      <c r="B68" s="47" t="s">
        <v>545</v>
      </c>
    </row>
    <row r="69" spans="1:2" ht="38.25" x14ac:dyDescent="0.2">
      <c r="A69" s="3" t="s">
        <v>1</v>
      </c>
      <c r="B69" s="4" t="s">
        <v>527</v>
      </c>
    </row>
    <row r="70" spans="1:2" ht="51" x14ac:dyDescent="0.2">
      <c r="A70" s="3" t="s">
        <v>1</v>
      </c>
      <c r="B70" s="4" t="s">
        <v>565</v>
      </c>
    </row>
  </sheetData>
  <dataValidations disablePrompts="1" count="5">
    <dataValidation type="list" allowBlank="1" showInputMessage="1" showErrorMessage="1" sqref="B6" xr:uid="{42A6713C-2CA9-4379-8386-5653E13AB766}">
      <formula1>"CWE ≤ ECC, CWE ≥ ECC, CWE ? ECC"</formula1>
    </dataValidation>
    <dataValidation type="list" allowBlank="1" showInputMessage="1" sqref="B7" xr:uid="{6C53B93D-9941-46F9-ADF1-131032A48AC8}">
      <formula1>"Yes, No, Unknown"</formula1>
    </dataValidation>
    <dataValidation type="list" allowBlank="1" showInputMessage="1" sqref="B8" xr:uid="{DFDBDE63-C54B-4441-AF6A-12BE6109CAB1}">
      <formula1>"MILCON, SRM, O&amp;M, Host Nation, Other"</formula1>
    </dataValidation>
    <dataValidation type="list" allowBlank="1" showInputMessage="1" sqref="B9:B10" xr:uid="{198AB983-27F7-4875-A6EC-9AECF2EF263E}">
      <formula1>"Army, Air Force, Navy, Marines, DPW, DLA, DoDEA"</formula1>
    </dataValidation>
    <dataValidation type="list" allowBlank="1" showInputMessage="1" sqref="B11" xr:uid="{3B5B0D93-0983-49F3-AB21-4FD877E4FD95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6B6A4-7096-496B-9BC8-18762F4A29B8}">
  <sheetPr codeName="Sheet10"/>
  <dimension ref="A1:H46"/>
  <sheetViews>
    <sheetView showGridLines="0" workbookViewId="0">
      <selection activeCell="F25" sqref="F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113</v>
      </c>
      <c r="D3" s="26">
        <v>1</v>
      </c>
      <c r="E3" s="27" t="s">
        <v>117</v>
      </c>
      <c r="F3" s="28"/>
      <c r="G3" s="28">
        <v>45082</v>
      </c>
      <c r="H3" s="28">
        <v>45086</v>
      </c>
    </row>
    <row r="4" spans="1:8" ht="15.75" customHeight="1" x14ac:dyDescent="0.2">
      <c r="A4" s="2" t="s">
        <v>5</v>
      </c>
      <c r="B4" s="2">
        <v>510203</v>
      </c>
      <c r="D4" s="26">
        <v>2</v>
      </c>
      <c r="E4" s="27" t="s">
        <v>118</v>
      </c>
      <c r="F4" s="28"/>
      <c r="G4" s="28"/>
      <c r="H4" s="28">
        <v>45153</v>
      </c>
    </row>
    <row r="5" spans="1:8" ht="15.75" customHeight="1" x14ac:dyDescent="0.2">
      <c r="A5" s="2" t="s">
        <v>6</v>
      </c>
      <c r="B5" s="2" t="s">
        <v>116</v>
      </c>
      <c r="D5" s="26">
        <v>3</v>
      </c>
      <c r="E5" s="27" t="s">
        <v>119</v>
      </c>
      <c r="F5" s="28"/>
      <c r="G5" s="28"/>
      <c r="H5" s="28">
        <v>45181</v>
      </c>
    </row>
    <row r="6" spans="1:8" ht="15.75" customHeight="1" x14ac:dyDescent="0.2">
      <c r="A6" s="2" t="s">
        <v>7</v>
      </c>
      <c r="B6" s="2" t="s">
        <v>38</v>
      </c>
      <c r="D6" s="26">
        <v>4</v>
      </c>
      <c r="E6" s="27" t="s">
        <v>120</v>
      </c>
      <c r="F6" s="28"/>
      <c r="G6" s="28"/>
      <c r="H6" s="28">
        <v>45288</v>
      </c>
    </row>
    <row r="7" spans="1:8" ht="15.75" customHeight="1" x14ac:dyDescent="0.2">
      <c r="A7" s="2" t="s">
        <v>8</v>
      </c>
      <c r="B7" s="2" t="s">
        <v>39</v>
      </c>
      <c r="D7" s="26">
        <v>5</v>
      </c>
      <c r="E7" s="27" t="s">
        <v>121</v>
      </c>
      <c r="F7" s="28"/>
      <c r="G7" s="28">
        <v>45352</v>
      </c>
      <c r="H7" s="28">
        <v>45365</v>
      </c>
    </row>
    <row r="8" spans="1:8" ht="15.75" customHeight="1" x14ac:dyDescent="0.2">
      <c r="A8" s="2" t="s">
        <v>33</v>
      </c>
      <c r="B8" s="2" t="s">
        <v>82</v>
      </c>
      <c r="D8" s="26">
        <v>6</v>
      </c>
      <c r="E8" s="27" t="s">
        <v>75</v>
      </c>
      <c r="F8" s="28">
        <v>45393</v>
      </c>
      <c r="G8" s="28"/>
      <c r="H8" s="28"/>
    </row>
    <row r="9" spans="1:8" ht="15.75" customHeight="1" x14ac:dyDescent="0.2">
      <c r="A9" s="2" t="s">
        <v>32</v>
      </c>
      <c r="B9" s="2" t="s">
        <v>114</v>
      </c>
      <c r="D9" s="18">
        <v>7</v>
      </c>
      <c r="E9" s="19" t="s">
        <v>129</v>
      </c>
      <c r="F9" s="20"/>
      <c r="G9" s="20" t="s">
        <v>80</v>
      </c>
      <c r="H9" s="20"/>
    </row>
    <row r="10" spans="1:8" ht="15.75" customHeight="1" x14ac:dyDescent="0.2">
      <c r="A10" s="2" t="s">
        <v>216</v>
      </c>
      <c r="B10" s="2" t="s">
        <v>223</v>
      </c>
      <c r="D10" s="11">
        <v>8</v>
      </c>
      <c r="E10" s="8" t="s">
        <v>130</v>
      </c>
      <c r="F10" s="9"/>
      <c r="G10" s="9" t="s">
        <v>80</v>
      </c>
      <c r="H10" s="9"/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267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115</v>
      </c>
    </row>
    <row r="18" spans="1:2" x14ac:dyDescent="0.2">
      <c r="A18" t="s">
        <v>14</v>
      </c>
      <c r="B18" t="s">
        <v>44</v>
      </c>
    </row>
    <row r="19" spans="1:2" x14ac:dyDescent="0.2">
      <c r="A19" t="s">
        <v>15</v>
      </c>
      <c r="B19" t="s">
        <v>128</v>
      </c>
    </row>
    <row r="20" spans="1:2" x14ac:dyDescent="0.2">
      <c r="A20" t="s">
        <v>16</v>
      </c>
      <c r="B20" t="s">
        <v>48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21</v>
      </c>
      <c r="B25" t="s">
        <v>48</v>
      </c>
    </row>
    <row r="26" spans="1:2" x14ac:dyDescent="0.2">
      <c r="A26" t="s">
        <v>22</v>
      </c>
      <c r="B26" t="s">
        <v>48</v>
      </c>
    </row>
    <row r="27" spans="1:2" x14ac:dyDescent="0.2">
      <c r="A27" t="s">
        <v>23</v>
      </c>
      <c r="B27" t="s">
        <v>192</v>
      </c>
    </row>
    <row r="28" spans="1:2" x14ac:dyDescent="0.2">
      <c r="A28" t="s">
        <v>24</v>
      </c>
      <c r="B28" t="s">
        <v>48</v>
      </c>
    </row>
    <row r="29" spans="1:2" x14ac:dyDescent="0.2">
      <c r="A29" t="s">
        <v>25</v>
      </c>
      <c r="B29" t="s">
        <v>48</v>
      </c>
    </row>
    <row r="30" spans="1:2" x14ac:dyDescent="0.2">
      <c r="A30" t="s">
        <v>30</v>
      </c>
      <c r="B30" t="s">
        <v>48</v>
      </c>
    </row>
    <row r="31" spans="1:2" x14ac:dyDescent="0.2">
      <c r="A31" t="s">
        <v>26</v>
      </c>
      <c r="B31" t="s">
        <v>48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122</v>
      </c>
    </row>
    <row r="37" spans="1:2" x14ac:dyDescent="0.2">
      <c r="A37" s="3"/>
      <c r="B37" s="4" t="s">
        <v>123</v>
      </c>
    </row>
    <row r="38" spans="1:2" x14ac:dyDescent="0.2">
      <c r="A38" s="3"/>
      <c r="B38" s="4" t="s">
        <v>124</v>
      </c>
    </row>
    <row r="39" spans="1:2" ht="25.5" x14ac:dyDescent="0.2">
      <c r="A39" s="3"/>
      <c r="B39" s="4" t="s">
        <v>125</v>
      </c>
    </row>
    <row r="40" spans="1:2" x14ac:dyDescent="0.2">
      <c r="A40" s="3"/>
      <c r="B40" s="4" t="s">
        <v>126</v>
      </c>
    </row>
    <row r="41" spans="1:2" ht="25.5" x14ac:dyDescent="0.2">
      <c r="A41" s="3"/>
      <c r="B41" s="4" t="s">
        <v>127</v>
      </c>
    </row>
    <row r="42" spans="1:2" x14ac:dyDescent="0.2">
      <c r="A42" s="3"/>
      <c r="B42" s="4" t="s">
        <v>131</v>
      </c>
    </row>
    <row r="43" spans="1:2" x14ac:dyDescent="0.2">
      <c r="A43" s="3"/>
      <c r="B43" s="4" t="s">
        <v>211</v>
      </c>
    </row>
    <row r="44" spans="1:2" ht="25.5" x14ac:dyDescent="0.2">
      <c r="A44" s="3" t="s">
        <v>1</v>
      </c>
      <c r="B44" s="4" t="s">
        <v>253</v>
      </c>
    </row>
    <row r="45" spans="1:2" ht="25.5" x14ac:dyDescent="0.2">
      <c r="A45" s="3" t="s">
        <v>1</v>
      </c>
      <c r="B45" s="4" t="s">
        <v>254</v>
      </c>
    </row>
    <row r="46" spans="1:2" x14ac:dyDescent="0.2">
      <c r="A46" s="3" t="s">
        <v>1</v>
      </c>
      <c r="B46" s="4" t="s">
        <v>262</v>
      </c>
    </row>
  </sheetData>
  <dataValidations count="5">
    <dataValidation type="list" allowBlank="1" showInputMessage="1" showErrorMessage="1" sqref="B6" xr:uid="{DD85C16C-FFB5-41EF-9635-6B235CC2B46F}">
      <formula1>"CWE ≤ ECC, CWE ≥ ECC, CWE ? ECC"</formula1>
    </dataValidation>
    <dataValidation type="list" allowBlank="1" showInputMessage="1" sqref="B7" xr:uid="{FC6BEE81-5595-4956-A273-C9E07EE4140B}">
      <formula1>"Yes, No, Unknown"</formula1>
    </dataValidation>
    <dataValidation type="list" allowBlank="1" showInputMessage="1" sqref="B8" xr:uid="{93B6477C-4E70-4D34-B149-02E0C40581B7}">
      <formula1>"MILCON, SRM, O&amp;M, Host Nation, Other"</formula1>
    </dataValidation>
    <dataValidation type="list" allowBlank="1" showInputMessage="1" sqref="B9:B10" xr:uid="{973C1735-8726-4F9F-8439-4D94232B0F60}">
      <formula1>"Army, Air Force, Navy, Marines, DPW, DLA, DoDEA"</formula1>
    </dataValidation>
    <dataValidation type="list" allowBlank="1" showInputMessage="1" sqref="B11" xr:uid="{4361D88A-E988-4F3C-8F80-1D15F21E0F97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81340-AA36-4F4D-B849-CA52941331D0}">
  <sheetPr codeName="Sheet11"/>
  <dimension ref="A1:H39"/>
  <sheetViews>
    <sheetView showGridLines="0" workbookViewId="0">
      <selection activeCell="E23" sqref="E2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132</v>
      </c>
      <c r="D3" s="12">
        <v>1</v>
      </c>
      <c r="E3" s="13" t="s">
        <v>66</v>
      </c>
      <c r="F3" s="14">
        <v>45560</v>
      </c>
      <c r="G3" s="14"/>
      <c r="H3" s="14"/>
    </row>
    <row r="4" spans="1:8" ht="15.6" customHeight="1" x14ac:dyDescent="0.2">
      <c r="A4" s="2" t="s">
        <v>5</v>
      </c>
      <c r="B4" s="2">
        <v>515585</v>
      </c>
      <c r="D4" s="11">
        <v>2</v>
      </c>
      <c r="E4" s="8" t="s">
        <v>67</v>
      </c>
      <c r="F4" s="9" t="s">
        <v>397</v>
      </c>
      <c r="G4" s="9"/>
      <c r="H4" s="9"/>
    </row>
    <row r="5" spans="1:8" ht="15.6" customHeight="1" x14ac:dyDescent="0.2">
      <c r="A5" s="2" t="s">
        <v>6</v>
      </c>
      <c r="B5" s="2" t="s">
        <v>133</v>
      </c>
      <c r="D5" s="11">
        <v>3</v>
      </c>
      <c r="E5" s="8" t="s">
        <v>68</v>
      </c>
      <c r="F5" s="9"/>
      <c r="G5" s="9">
        <v>45687</v>
      </c>
      <c r="H5" s="9">
        <v>45700</v>
      </c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69</v>
      </c>
      <c r="F6" s="9"/>
      <c r="G6" s="9">
        <v>45722</v>
      </c>
      <c r="H6" s="9">
        <v>45735</v>
      </c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398</v>
      </c>
      <c r="F7" s="9"/>
      <c r="G7" s="9"/>
      <c r="H7" s="9">
        <v>45750</v>
      </c>
    </row>
    <row r="8" spans="1:8" ht="15.6" customHeight="1" x14ac:dyDescent="0.2">
      <c r="A8" s="2" t="s">
        <v>33</v>
      </c>
      <c r="B8" s="2" t="s">
        <v>40</v>
      </c>
    </row>
    <row r="9" spans="1:8" ht="15.6" customHeight="1" x14ac:dyDescent="0.2">
      <c r="A9" s="2" t="s">
        <v>32</v>
      </c>
      <c r="B9" s="2" t="s">
        <v>98</v>
      </c>
    </row>
    <row r="10" spans="1:8" ht="15.6" customHeight="1" x14ac:dyDescent="0.2">
      <c r="A10" s="2" t="s">
        <v>216</v>
      </c>
      <c r="B10" s="2" t="s">
        <v>223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/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432</v>
      </c>
    </row>
    <row r="17" spans="1:2" ht="15.6" customHeight="1" x14ac:dyDescent="0.2">
      <c r="A17" t="s">
        <v>13</v>
      </c>
      <c r="B17" t="s">
        <v>134</v>
      </c>
    </row>
    <row r="18" spans="1:2" x14ac:dyDescent="0.2">
      <c r="A18" t="s">
        <v>14</v>
      </c>
      <c r="B18" t="s">
        <v>135</v>
      </c>
    </row>
    <row r="19" spans="1:2" x14ac:dyDescent="0.2">
      <c r="A19" t="s">
        <v>15</v>
      </c>
      <c r="B19" t="s">
        <v>400</v>
      </c>
    </row>
    <row r="20" spans="1:2" x14ac:dyDescent="0.2">
      <c r="A20" t="s">
        <v>16</v>
      </c>
      <c r="B20" t="s">
        <v>136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106</v>
      </c>
    </row>
    <row r="23" spans="1:2" x14ac:dyDescent="0.2">
      <c r="A23" t="s">
        <v>19</v>
      </c>
      <c r="B23" t="s">
        <v>86</v>
      </c>
    </row>
    <row r="24" spans="1:2" x14ac:dyDescent="0.2">
      <c r="A24" t="s">
        <v>20</v>
      </c>
      <c r="B24" t="s">
        <v>112</v>
      </c>
    </row>
    <row r="25" spans="1:2" x14ac:dyDescent="0.2">
      <c r="A25" t="s">
        <v>21</v>
      </c>
      <c r="B25" t="s">
        <v>270</v>
      </c>
    </row>
    <row r="26" spans="1:2" x14ac:dyDescent="0.2">
      <c r="A26" t="s">
        <v>22</v>
      </c>
      <c r="B26" t="s">
        <v>112</v>
      </c>
    </row>
    <row r="27" spans="1:2" x14ac:dyDescent="0.2">
      <c r="A27" t="s">
        <v>23</v>
      </c>
      <c r="B27" t="s">
        <v>175</v>
      </c>
    </row>
    <row r="28" spans="1:2" x14ac:dyDescent="0.2">
      <c r="A28" t="s">
        <v>24</v>
      </c>
      <c r="B28" t="s">
        <v>176</v>
      </c>
    </row>
    <row r="29" spans="1:2" x14ac:dyDescent="0.2">
      <c r="A29" t="s">
        <v>25</v>
      </c>
      <c r="B29" t="s">
        <v>50</v>
      </c>
    </row>
    <row r="30" spans="1:2" x14ac:dyDescent="0.2">
      <c r="A30" t="s">
        <v>30</v>
      </c>
      <c r="B30" t="s">
        <v>369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/>
      <c r="B36" s="4" t="s">
        <v>263</v>
      </c>
    </row>
    <row r="37" spans="1:2" ht="25.5" x14ac:dyDescent="0.2">
      <c r="A37" s="3"/>
      <c r="B37" s="4" t="s">
        <v>332</v>
      </c>
    </row>
    <row r="38" spans="1:2" ht="25.5" x14ac:dyDescent="0.2">
      <c r="A38" s="3" t="s">
        <v>1</v>
      </c>
      <c r="B38" s="4" t="s">
        <v>399</v>
      </c>
    </row>
    <row r="39" spans="1:2" x14ac:dyDescent="0.2">
      <c r="A39" s="3" t="s">
        <v>1</v>
      </c>
      <c r="B39" s="4" t="s">
        <v>424</v>
      </c>
    </row>
  </sheetData>
  <dataValidations disablePrompts="1" count="5">
    <dataValidation type="list" allowBlank="1" showInputMessage="1" showErrorMessage="1" sqref="B6" xr:uid="{3D45C00A-3349-4945-8C42-6D1BD06D08E2}">
      <formula1>"CWE ≤ ECC, CWE ≥ ECC, CWE ? ECC"</formula1>
    </dataValidation>
    <dataValidation type="list" allowBlank="1" showInputMessage="1" sqref="B7" xr:uid="{290EF4C7-A67B-4998-B21E-BC372116EE2F}">
      <formula1>"Yes, No, Unknown"</formula1>
    </dataValidation>
    <dataValidation type="list" allowBlank="1" showInputMessage="1" sqref="B8" xr:uid="{E2C5C99A-A956-4F24-BACC-5B170621719C}">
      <formula1>"MILCON, SRM, O&amp;M, Host Nation, Other"</formula1>
    </dataValidation>
    <dataValidation type="list" allowBlank="1" showInputMessage="1" sqref="B9:B10" xr:uid="{8C57AF5E-91D2-4509-96C6-F8C36D34D1B0}">
      <formula1>"Army, Air Force, Navy, Marines, DPW, DLA, DoDEA"</formula1>
    </dataValidation>
    <dataValidation type="list" allowBlank="1" showInputMessage="1" sqref="B11" xr:uid="{8F4B8654-FABF-47E0-8375-0A90D0369C32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E6AFC-9A52-4463-B8F4-F54098D2DE18}">
  <sheetPr codeName="Sheet12"/>
  <dimension ref="A1:H40"/>
  <sheetViews>
    <sheetView showGridLines="0" zoomScaleNormal="100" workbookViewId="0">
      <selection activeCell="B24" sqref="B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137</v>
      </c>
      <c r="D3" s="26">
        <v>1</v>
      </c>
      <c r="E3" s="27" t="s">
        <v>66</v>
      </c>
      <c r="F3" s="28">
        <v>45533</v>
      </c>
      <c r="G3" s="28"/>
      <c r="H3" s="28"/>
    </row>
    <row r="4" spans="1:8" ht="15.6" customHeight="1" x14ac:dyDescent="0.2">
      <c r="A4" s="2" t="s">
        <v>5</v>
      </c>
      <c r="B4" s="2">
        <v>515797</v>
      </c>
      <c r="D4" s="22">
        <v>2</v>
      </c>
      <c r="E4" s="23" t="s">
        <v>67</v>
      </c>
      <c r="F4" s="24"/>
      <c r="G4" s="24">
        <v>45559</v>
      </c>
      <c r="H4" s="24">
        <v>45562</v>
      </c>
    </row>
    <row r="5" spans="1:8" ht="15.6" customHeight="1" x14ac:dyDescent="0.2">
      <c r="A5" s="2" t="s">
        <v>6</v>
      </c>
      <c r="B5" s="2" t="s">
        <v>138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38</v>
      </c>
      <c r="D6" s="11">
        <v>4</v>
      </c>
      <c r="E6" s="8" t="s">
        <v>69</v>
      </c>
      <c r="F6" s="9"/>
      <c r="G6" s="9">
        <v>45583</v>
      </c>
      <c r="H6" s="9">
        <v>45593</v>
      </c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406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>
        <v>45637</v>
      </c>
      <c r="H8" s="9">
        <v>45650</v>
      </c>
    </row>
    <row r="9" spans="1:8" ht="15.6" customHeight="1" x14ac:dyDescent="0.2">
      <c r="A9" s="2" t="s">
        <v>32</v>
      </c>
      <c r="B9" s="2" t="s">
        <v>102</v>
      </c>
      <c r="D9" s="11">
        <v>7</v>
      </c>
      <c r="E9" s="8" t="s">
        <v>72</v>
      </c>
      <c r="F9" s="9">
        <v>45664</v>
      </c>
      <c r="G9" s="9"/>
      <c r="H9" s="9"/>
    </row>
    <row r="10" spans="1:8" ht="15.6" customHeight="1" x14ac:dyDescent="0.2">
      <c r="A10" s="2" t="s">
        <v>216</v>
      </c>
      <c r="B10" s="2" t="s">
        <v>224</v>
      </c>
      <c r="D10" s="11">
        <v>8</v>
      </c>
      <c r="E10" s="8" t="s">
        <v>73</v>
      </c>
      <c r="F10" s="9"/>
      <c r="G10" s="9">
        <v>45789</v>
      </c>
      <c r="H10" s="9">
        <v>45807</v>
      </c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 t="s">
        <v>407</v>
      </c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/>
      <c r="G12" s="9">
        <v>45905</v>
      </c>
      <c r="H12" s="9">
        <v>45925</v>
      </c>
    </row>
    <row r="13" spans="1:8" ht="15.6" customHeight="1" x14ac:dyDescent="0.2">
      <c r="D13" s="11">
        <v>11</v>
      </c>
      <c r="E13" s="8" t="s">
        <v>72</v>
      </c>
      <c r="F13" s="9" t="s">
        <v>408</v>
      </c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21" t="s">
        <v>409</v>
      </c>
      <c r="H14" s="21" t="s">
        <v>281</v>
      </c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21" t="s">
        <v>410</v>
      </c>
      <c r="G15" s="9"/>
      <c r="H15" s="9"/>
    </row>
    <row r="16" spans="1:8" ht="15.6" customHeight="1" x14ac:dyDescent="0.2">
      <c r="A16" t="s">
        <v>12</v>
      </c>
      <c r="B16" t="s">
        <v>432</v>
      </c>
      <c r="D16" s="11">
        <v>14</v>
      </c>
      <c r="E16" s="8" t="s">
        <v>77</v>
      </c>
      <c r="F16" s="21" t="s">
        <v>410</v>
      </c>
      <c r="G16" s="9"/>
      <c r="H16" s="9"/>
    </row>
    <row r="17" spans="1:8" ht="15.6" customHeight="1" x14ac:dyDescent="0.2">
      <c r="A17" t="s">
        <v>13</v>
      </c>
      <c r="B17" t="s">
        <v>347</v>
      </c>
      <c r="D17" s="11">
        <v>15</v>
      </c>
      <c r="E17" s="8" t="s">
        <v>78</v>
      </c>
      <c r="F17" s="21" t="s">
        <v>411</v>
      </c>
      <c r="G17" s="9"/>
      <c r="H17" s="9"/>
    </row>
    <row r="18" spans="1:8" x14ac:dyDescent="0.2">
      <c r="A18" t="s">
        <v>14</v>
      </c>
      <c r="B18" t="s">
        <v>85</v>
      </c>
    </row>
    <row r="19" spans="1:8" x14ac:dyDescent="0.2">
      <c r="A19" t="s">
        <v>15</v>
      </c>
      <c r="B19" t="s">
        <v>393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51</v>
      </c>
    </row>
    <row r="23" spans="1:8" x14ac:dyDescent="0.2">
      <c r="A23" t="s">
        <v>19</v>
      </c>
      <c r="B23" t="s">
        <v>111</v>
      </c>
    </row>
    <row r="24" spans="1:8" x14ac:dyDescent="0.2">
      <c r="A24" t="s">
        <v>20</v>
      </c>
      <c r="B24" t="s">
        <v>112</v>
      </c>
    </row>
    <row r="25" spans="1:8" x14ac:dyDescent="0.2">
      <c r="A25" t="s">
        <v>21</v>
      </c>
      <c r="B25" t="s">
        <v>107</v>
      </c>
    </row>
    <row r="26" spans="1:8" x14ac:dyDescent="0.2">
      <c r="A26" t="s">
        <v>22</v>
      </c>
      <c r="B26" t="s">
        <v>112</v>
      </c>
    </row>
    <row r="27" spans="1:8" x14ac:dyDescent="0.2">
      <c r="A27" t="s">
        <v>23</v>
      </c>
      <c r="B27" t="s">
        <v>175</v>
      </c>
    </row>
    <row r="28" spans="1:8" x14ac:dyDescent="0.2">
      <c r="A28" t="s">
        <v>24</v>
      </c>
      <c r="B28" t="s">
        <v>176</v>
      </c>
    </row>
    <row r="29" spans="1:8" x14ac:dyDescent="0.2">
      <c r="A29" t="s">
        <v>25</v>
      </c>
      <c r="B29" t="s">
        <v>308</v>
      </c>
    </row>
    <row r="30" spans="1:8" x14ac:dyDescent="0.2">
      <c r="A30" t="s">
        <v>30</v>
      </c>
      <c r="B30" t="s">
        <v>369</v>
      </c>
    </row>
    <row r="31" spans="1:8" x14ac:dyDescent="0.2">
      <c r="A31" t="s">
        <v>26</v>
      </c>
      <c r="B31" t="s">
        <v>193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300</v>
      </c>
    </row>
    <row r="37" spans="1:2" x14ac:dyDescent="0.2">
      <c r="A37" s="3"/>
      <c r="B37" s="4" t="s">
        <v>333</v>
      </c>
    </row>
    <row r="38" spans="1:2" x14ac:dyDescent="0.2">
      <c r="A38" s="3"/>
      <c r="B38" s="4" t="s">
        <v>383</v>
      </c>
    </row>
    <row r="39" spans="1:2" x14ac:dyDescent="0.2">
      <c r="A39" s="3"/>
      <c r="B39" s="4" t="s">
        <v>384</v>
      </c>
    </row>
    <row r="40" spans="1:2" x14ac:dyDescent="0.2">
      <c r="A40" s="3" t="s">
        <v>1</v>
      </c>
      <c r="B40" s="4" t="s">
        <v>424</v>
      </c>
    </row>
  </sheetData>
  <dataValidations count="5">
    <dataValidation type="list" allowBlank="1" showInputMessage="1" showErrorMessage="1" sqref="B6" xr:uid="{3B51EBC9-0931-4F83-BCB7-1C12C6B0F497}">
      <formula1>"CWE ≤ ECC, CWE ≥ ECC, CWE ? ECC"</formula1>
    </dataValidation>
    <dataValidation type="list" allowBlank="1" showInputMessage="1" sqref="B7" xr:uid="{D40E0934-9072-4526-8F98-4E3E4439FEE3}">
      <formula1>"Yes, No, Unknown"</formula1>
    </dataValidation>
    <dataValidation type="list" allowBlank="1" showInputMessage="1" sqref="B8" xr:uid="{EA12BB2C-0FE6-49F0-99E0-259F2822355C}">
      <formula1>"MILCON, SRM, O&amp;M, Host Nation, Other"</formula1>
    </dataValidation>
    <dataValidation type="list" allowBlank="1" showInputMessage="1" sqref="B9:B10" xr:uid="{850C964C-3316-43C9-8C03-A422D2E82CC6}">
      <formula1>"Army, Air Force, Navy, Marines, DPW, DLA, DoDEA"</formula1>
    </dataValidation>
    <dataValidation type="list" allowBlank="1" showInputMessage="1" sqref="B11" xr:uid="{15441E48-6BCC-4DD2-9751-737FF2C3D5F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58A46-9813-45E9-BD31-5E1DD718035E}">
  <sheetPr codeName="Sheet13"/>
  <dimension ref="A1:H53"/>
  <sheetViews>
    <sheetView showGridLines="0" zoomScaleNormal="100" workbookViewId="0">
      <selection activeCell="B12" sqref="B12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  <col min="10" max="10" width="9.140625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140</v>
      </c>
      <c r="D3" s="32">
        <v>1</v>
      </c>
      <c r="E3" s="33" t="s">
        <v>66</v>
      </c>
      <c r="F3" s="34">
        <v>45483</v>
      </c>
      <c r="G3" s="34"/>
      <c r="H3" s="34"/>
    </row>
    <row r="4" spans="1:8" ht="15.6" customHeight="1" x14ac:dyDescent="0.2">
      <c r="A4" s="2" t="s">
        <v>5</v>
      </c>
      <c r="B4" s="2">
        <v>518154</v>
      </c>
      <c r="D4" s="32">
        <v>2</v>
      </c>
      <c r="E4" s="33" t="s">
        <v>67</v>
      </c>
      <c r="F4" s="34"/>
      <c r="G4" s="34">
        <v>45496</v>
      </c>
      <c r="H4" s="34">
        <v>45498</v>
      </c>
    </row>
    <row r="5" spans="1:8" ht="15.6" customHeight="1" x14ac:dyDescent="0.2">
      <c r="A5" s="2" t="s">
        <v>6</v>
      </c>
      <c r="B5" s="2" t="s">
        <v>523</v>
      </c>
      <c r="D5" s="32">
        <v>3</v>
      </c>
      <c r="E5" s="33" t="s">
        <v>68</v>
      </c>
      <c r="F5" s="34">
        <v>45510</v>
      </c>
      <c r="G5" s="34">
        <v>45511</v>
      </c>
      <c r="H5" s="34">
        <v>45520</v>
      </c>
    </row>
    <row r="6" spans="1:8" ht="15.6" customHeight="1" x14ac:dyDescent="0.2">
      <c r="A6" s="2" t="s">
        <v>7</v>
      </c>
      <c r="B6" s="2" t="s">
        <v>108</v>
      </c>
      <c r="D6" s="32">
        <v>4</v>
      </c>
      <c r="E6" s="33" t="s">
        <v>69</v>
      </c>
      <c r="F6" s="34"/>
      <c r="G6" s="34"/>
      <c r="H6" s="34"/>
    </row>
    <row r="7" spans="1:8" ht="15.6" customHeight="1" x14ac:dyDescent="0.2">
      <c r="A7" s="2" t="s">
        <v>8</v>
      </c>
      <c r="B7" s="2" t="s">
        <v>39</v>
      </c>
      <c r="D7" s="32">
        <v>5</v>
      </c>
      <c r="E7" s="33" t="s">
        <v>70</v>
      </c>
      <c r="F7" s="34"/>
      <c r="G7" s="34"/>
      <c r="H7" s="34"/>
    </row>
    <row r="8" spans="1:8" ht="15.6" customHeight="1" x14ac:dyDescent="0.2">
      <c r="A8" s="2" t="s">
        <v>33</v>
      </c>
      <c r="B8" s="2" t="s">
        <v>40</v>
      </c>
      <c r="D8" s="32">
        <v>6</v>
      </c>
      <c r="E8" s="33" t="s">
        <v>71</v>
      </c>
      <c r="F8" s="34"/>
      <c r="G8" s="34"/>
      <c r="H8" s="34"/>
    </row>
    <row r="9" spans="1:8" ht="15.6" customHeight="1" x14ac:dyDescent="0.2">
      <c r="A9" s="2" t="s">
        <v>32</v>
      </c>
      <c r="B9" s="2" t="s">
        <v>94</v>
      </c>
      <c r="D9" s="32">
        <v>7</v>
      </c>
      <c r="E9" s="33" t="s">
        <v>72</v>
      </c>
      <c r="F9" s="34">
        <v>45566</v>
      </c>
      <c r="G9" s="34"/>
      <c r="H9" s="34"/>
    </row>
    <row r="10" spans="1:8" ht="15.6" customHeight="1" x14ac:dyDescent="0.2">
      <c r="A10" s="2" t="s">
        <v>216</v>
      </c>
      <c r="B10" s="2" t="s">
        <v>225</v>
      </c>
      <c r="D10" s="15">
        <v>8</v>
      </c>
      <c r="E10" s="16" t="s">
        <v>73</v>
      </c>
      <c r="F10" s="17" t="s">
        <v>80</v>
      </c>
      <c r="G10" s="17"/>
      <c r="H10" s="17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9" t="s">
        <v>80</v>
      </c>
      <c r="G12" s="9"/>
      <c r="H12" s="9"/>
    </row>
    <row r="13" spans="1:8" ht="15.6" customHeight="1" x14ac:dyDescent="0.2">
      <c r="A13" s="2" t="s">
        <v>529</v>
      </c>
      <c r="B13" s="2" t="s">
        <v>540</v>
      </c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D14" s="11">
        <v>12</v>
      </c>
      <c r="E14" s="8" t="s">
        <v>75</v>
      </c>
      <c r="F14" s="9" t="s">
        <v>80</v>
      </c>
      <c r="G14" s="9"/>
      <c r="H14" s="9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 t="s">
        <v>80</v>
      </c>
      <c r="G15" s="9"/>
      <c r="H15" s="9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9" t="s">
        <v>80</v>
      </c>
      <c r="G16" s="9"/>
      <c r="H16" s="9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9" t="s">
        <v>80</v>
      </c>
      <c r="G17" s="9"/>
      <c r="H17" s="9"/>
    </row>
    <row r="18" spans="1:8" x14ac:dyDescent="0.2">
      <c r="A18" t="s">
        <v>13</v>
      </c>
      <c r="B18" t="s">
        <v>139</v>
      </c>
    </row>
    <row r="19" spans="1:8" x14ac:dyDescent="0.2">
      <c r="A19" t="s">
        <v>14</v>
      </c>
      <c r="B19" t="s">
        <v>168</v>
      </c>
    </row>
    <row r="20" spans="1:8" x14ac:dyDescent="0.2">
      <c r="A20" t="s">
        <v>15</v>
      </c>
      <c r="B20" t="s">
        <v>371</v>
      </c>
    </row>
    <row r="21" spans="1:8" x14ac:dyDescent="0.2">
      <c r="A21" t="s">
        <v>16</v>
      </c>
      <c r="B21" t="s">
        <v>321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106</v>
      </c>
    </row>
    <row r="24" spans="1:8" x14ac:dyDescent="0.2">
      <c r="A24" t="s">
        <v>19</v>
      </c>
      <c r="B24" t="s">
        <v>86</v>
      </c>
    </row>
    <row r="25" spans="1:8" x14ac:dyDescent="0.2">
      <c r="A25" t="s">
        <v>20</v>
      </c>
      <c r="B25" t="s">
        <v>112</v>
      </c>
    </row>
    <row r="26" spans="1:8" x14ac:dyDescent="0.2">
      <c r="A26" t="s">
        <v>239</v>
      </c>
      <c r="B26" t="s">
        <v>107</v>
      </c>
    </row>
    <row r="27" spans="1:8" x14ac:dyDescent="0.2">
      <c r="A27" t="s">
        <v>237</v>
      </c>
      <c r="B27" t="s">
        <v>112</v>
      </c>
    </row>
    <row r="28" spans="1:8" x14ac:dyDescent="0.2">
      <c r="A28" t="s">
        <v>22</v>
      </c>
      <c r="B28" t="s">
        <v>112</v>
      </c>
    </row>
    <row r="29" spans="1:8" x14ac:dyDescent="0.2">
      <c r="A29" t="s">
        <v>23</v>
      </c>
      <c r="B29" t="s">
        <v>175</v>
      </c>
    </row>
    <row r="30" spans="1:8" x14ac:dyDescent="0.2">
      <c r="A30" t="s">
        <v>24</v>
      </c>
      <c r="B30" t="s">
        <v>176</v>
      </c>
    </row>
    <row r="31" spans="1:8" x14ac:dyDescent="0.2">
      <c r="A31" t="s">
        <v>25</v>
      </c>
      <c r="B31" t="s">
        <v>50</v>
      </c>
    </row>
    <row r="32" spans="1:8" x14ac:dyDescent="0.2">
      <c r="A32" t="s">
        <v>30</v>
      </c>
      <c r="B32" t="s">
        <v>369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225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234</v>
      </c>
    </row>
    <row r="40" spans="1:2" ht="25.5" x14ac:dyDescent="0.2">
      <c r="A40" s="3"/>
      <c r="B40" s="4" t="s">
        <v>235</v>
      </c>
    </row>
    <row r="41" spans="1:2" x14ac:dyDescent="0.2">
      <c r="A41" s="3"/>
      <c r="B41" s="4" t="s">
        <v>236</v>
      </c>
    </row>
    <row r="42" spans="1:2" x14ac:dyDescent="0.2">
      <c r="A42" s="3"/>
      <c r="B42" s="4" t="s">
        <v>268</v>
      </c>
    </row>
    <row r="43" spans="1:2" x14ac:dyDescent="0.2">
      <c r="A43" s="3"/>
      <c r="B43" s="4" t="s">
        <v>319</v>
      </c>
    </row>
    <row r="44" spans="1:2" x14ac:dyDescent="0.2">
      <c r="A44" s="3"/>
      <c r="B44" s="4" t="s">
        <v>349</v>
      </c>
    </row>
    <row r="45" spans="1:2" ht="25.5" x14ac:dyDescent="0.2">
      <c r="A45" s="3"/>
      <c r="B45" s="4" t="s">
        <v>348</v>
      </c>
    </row>
    <row r="46" spans="1:2" ht="38.25" x14ac:dyDescent="0.2">
      <c r="A46" s="3"/>
      <c r="B46" s="4" t="s">
        <v>372</v>
      </c>
    </row>
    <row r="47" spans="1:2" x14ac:dyDescent="0.2">
      <c r="A47" s="3"/>
      <c r="B47" s="4" t="s">
        <v>385</v>
      </c>
    </row>
    <row r="48" spans="1:2" ht="25.5" x14ac:dyDescent="0.2">
      <c r="A48" s="3"/>
      <c r="B48" s="4" t="s">
        <v>386</v>
      </c>
    </row>
    <row r="49" spans="1:2" x14ac:dyDescent="0.2">
      <c r="A49" s="3"/>
      <c r="B49" s="4" t="s">
        <v>425</v>
      </c>
    </row>
    <row r="50" spans="1:2" ht="25.5" x14ac:dyDescent="0.2">
      <c r="A50" s="3"/>
      <c r="B50" s="4" t="s">
        <v>426</v>
      </c>
    </row>
    <row r="51" spans="1:2" ht="25.5" x14ac:dyDescent="0.2">
      <c r="A51" s="3" t="s">
        <v>1</v>
      </c>
      <c r="B51" s="4" t="s">
        <v>443</v>
      </c>
    </row>
    <row r="52" spans="1:2" ht="38.25" x14ac:dyDescent="0.2">
      <c r="A52" s="3" t="s">
        <v>1</v>
      </c>
      <c r="B52" s="4" t="s">
        <v>444</v>
      </c>
    </row>
    <row r="53" spans="1:2" ht="25.5" x14ac:dyDescent="0.2">
      <c r="A53" s="3" t="s">
        <v>1</v>
      </c>
      <c r="B53" s="4" t="s">
        <v>445</v>
      </c>
    </row>
  </sheetData>
  <dataValidations disablePrompts="1" count="5">
    <dataValidation type="list" allowBlank="1" showInputMessage="1" showErrorMessage="1" sqref="B6" xr:uid="{51DE4B19-86F0-4207-8374-864F4875AE81}">
      <formula1>"CWE ≤ ECC, CWE ≥ ECC, CWE ? ECC"</formula1>
    </dataValidation>
    <dataValidation type="list" allowBlank="1" showInputMessage="1" sqref="B7" xr:uid="{F13A1102-33B8-43A4-8529-500878782785}">
      <formula1>"Yes, No, Unknown"</formula1>
    </dataValidation>
    <dataValidation type="list" allowBlank="1" showInputMessage="1" sqref="B8" xr:uid="{966FF9AD-DBC3-4B59-8203-EC2A7295F433}">
      <formula1>"MILCON, SRM, O&amp;M, Host Nation, Other"</formula1>
    </dataValidation>
    <dataValidation type="list" allowBlank="1" showInputMessage="1" sqref="B9:B10" xr:uid="{30C0821C-A2D5-40E7-B238-4DF75948A5C2}">
      <formula1>"Army, Air Force, Navy, Marines, DPW, DLA, DoDEA"</formula1>
    </dataValidation>
    <dataValidation type="list" allowBlank="1" showInputMessage="1" sqref="B11" xr:uid="{63DF38F2-2B77-458D-B186-5128372765AB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3F8F9-20EE-43F7-B265-194FBB2AC474}">
  <sheetPr codeName="Sheet14"/>
  <dimension ref="A1:H36"/>
  <sheetViews>
    <sheetView showGridLines="0" workbookViewId="0">
      <selection activeCell="L40" sqref="L40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141</v>
      </c>
      <c r="D3" s="11">
        <v>1</v>
      </c>
      <c r="E3" s="8" t="s">
        <v>66</v>
      </c>
      <c r="F3" s="9"/>
      <c r="G3" s="9"/>
      <c r="H3" s="9"/>
    </row>
    <row r="4" spans="1:8" ht="15.6" customHeight="1" x14ac:dyDescent="0.2">
      <c r="A4" s="2" t="s">
        <v>5</v>
      </c>
      <c r="B4" s="2">
        <v>506382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142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143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247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246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134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</row>
    <row r="19" spans="1:8" x14ac:dyDescent="0.2">
      <c r="A19" t="s">
        <v>15</v>
      </c>
      <c r="B19" t="s">
        <v>179</v>
      </c>
    </row>
    <row r="20" spans="1:8" x14ac:dyDescent="0.2">
      <c r="A20" t="s">
        <v>16</v>
      </c>
    </row>
    <row r="21" spans="1:8" x14ac:dyDescent="0.2">
      <c r="A21" t="s">
        <v>17</v>
      </c>
    </row>
    <row r="22" spans="1:8" x14ac:dyDescent="0.2">
      <c r="A22" t="s">
        <v>18</v>
      </c>
    </row>
    <row r="23" spans="1:8" x14ac:dyDescent="0.2">
      <c r="A23" t="s">
        <v>19</v>
      </c>
    </row>
    <row r="24" spans="1:8" x14ac:dyDescent="0.2">
      <c r="A24" t="s">
        <v>20</v>
      </c>
    </row>
    <row r="25" spans="1:8" x14ac:dyDescent="0.2">
      <c r="A25" t="s">
        <v>21</v>
      </c>
    </row>
    <row r="26" spans="1:8" x14ac:dyDescent="0.2">
      <c r="A26" t="s">
        <v>22</v>
      </c>
    </row>
    <row r="27" spans="1:8" x14ac:dyDescent="0.2">
      <c r="A27" t="s">
        <v>23</v>
      </c>
    </row>
    <row r="28" spans="1:8" x14ac:dyDescent="0.2">
      <c r="A28" t="s">
        <v>24</v>
      </c>
    </row>
    <row r="29" spans="1:8" x14ac:dyDescent="0.2">
      <c r="A29" t="s">
        <v>25</v>
      </c>
    </row>
    <row r="30" spans="1:8" x14ac:dyDescent="0.2">
      <c r="A30" t="s">
        <v>30</v>
      </c>
    </row>
    <row r="31" spans="1:8" x14ac:dyDescent="0.2">
      <c r="A31" t="s">
        <v>26</v>
      </c>
    </row>
    <row r="32" spans="1:8" x14ac:dyDescent="0.2">
      <c r="A32" t="s">
        <v>27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 t="s">
        <v>1</v>
      </c>
      <c r="B36" s="4" t="s">
        <v>269</v>
      </c>
    </row>
  </sheetData>
  <dataValidations count="5">
    <dataValidation type="list" allowBlank="1" showInputMessage="1" showErrorMessage="1" sqref="B6" xr:uid="{83C5ACA2-2150-4E14-9CC0-CB9F0A15D085}">
      <formula1>"CWE ≤ ECC, CWE ≥ ECC, CWE ? ECC"</formula1>
    </dataValidation>
    <dataValidation type="list" allowBlank="1" showInputMessage="1" sqref="B7" xr:uid="{2E9465F3-B522-4BF0-93CC-275CBDA25BEC}">
      <formula1>"Yes, No, Unknown"</formula1>
    </dataValidation>
    <dataValidation type="list" allowBlank="1" showInputMessage="1" sqref="B8" xr:uid="{92568916-DAB2-460B-B537-114A96D37D81}">
      <formula1>"MILCON, SRM, O&amp;M, Host Nation, Other"</formula1>
    </dataValidation>
    <dataValidation type="list" allowBlank="1" showInputMessage="1" sqref="B9:B10" xr:uid="{E57AF591-DF70-4270-BCBF-00C64D4789E7}">
      <formula1>"Army, Air Force, Navy, Marines, DPW, DLA, DoDEA"</formula1>
    </dataValidation>
    <dataValidation type="list" allowBlank="1" showInputMessage="1" sqref="B11" xr:uid="{65876A55-3B0D-4783-9CA3-E29674520E8E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1E77F-58E4-43EC-9D65-648CF828FA55}">
  <sheetPr codeName="Sheet15"/>
  <dimension ref="A1:G50"/>
  <sheetViews>
    <sheetView showGridLines="0" workbookViewId="0">
      <selection activeCell="J35" sqref="J3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483</v>
      </c>
      <c r="D3" s="32">
        <v>1</v>
      </c>
      <c r="E3" s="33" t="s">
        <v>66</v>
      </c>
      <c r="F3" s="34"/>
      <c r="G3" s="34"/>
    </row>
    <row r="4" spans="1:7" ht="15.6" customHeight="1" x14ac:dyDescent="0.2">
      <c r="A4" s="2" t="s">
        <v>5</v>
      </c>
      <c r="B4" s="2">
        <v>515796</v>
      </c>
      <c r="D4" s="32">
        <v>2</v>
      </c>
      <c r="E4" s="33" t="s">
        <v>67</v>
      </c>
      <c r="F4" s="34"/>
      <c r="G4" s="34"/>
    </row>
    <row r="5" spans="1:7" ht="15.6" customHeight="1" x14ac:dyDescent="0.2">
      <c r="A5" s="2" t="s">
        <v>6</v>
      </c>
      <c r="B5" s="41" t="s">
        <v>313</v>
      </c>
      <c r="D5" s="32">
        <v>3</v>
      </c>
      <c r="E5" s="33" t="s">
        <v>68</v>
      </c>
      <c r="F5" s="34"/>
      <c r="G5" s="34"/>
    </row>
    <row r="6" spans="1:7" ht="15.6" customHeight="1" x14ac:dyDescent="0.2">
      <c r="A6" s="2" t="s">
        <v>7</v>
      </c>
      <c r="B6" s="2" t="s">
        <v>108</v>
      </c>
      <c r="D6" s="32">
        <v>4</v>
      </c>
      <c r="E6" s="33" t="s">
        <v>146</v>
      </c>
      <c r="F6" s="34">
        <v>45369</v>
      </c>
      <c r="G6" s="34"/>
    </row>
    <row r="7" spans="1:7" ht="15.6" customHeight="1" x14ac:dyDescent="0.2">
      <c r="A7" s="2" t="s">
        <v>8</v>
      </c>
      <c r="B7" s="2" t="s">
        <v>39</v>
      </c>
      <c r="D7" s="32">
        <v>5</v>
      </c>
      <c r="E7" s="33" t="s">
        <v>144</v>
      </c>
      <c r="F7" s="34">
        <v>45380</v>
      </c>
      <c r="G7" s="34"/>
    </row>
    <row r="8" spans="1:7" ht="15.6" customHeight="1" x14ac:dyDescent="0.2">
      <c r="A8" s="2" t="s">
        <v>33</v>
      </c>
      <c r="B8" s="2" t="s">
        <v>40</v>
      </c>
      <c r="D8" s="32">
        <v>6</v>
      </c>
      <c r="E8" s="33" t="s">
        <v>188</v>
      </c>
      <c r="F8" s="34">
        <v>45394</v>
      </c>
      <c r="G8" s="34"/>
    </row>
    <row r="9" spans="1:7" ht="15.6" customHeight="1" x14ac:dyDescent="0.2">
      <c r="A9" s="2" t="s">
        <v>32</v>
      </c>
      <c r="B9" s="2" t="s">
        <v>94</v>
      </c>
      <c r="D9" s="32">
        <v>7</v>
      </c>
      <c r="E9" s="33" t="s">
        <v>145</v>
      </c>
      <c r="F9" s="34">
        <v>45411</v>
      </c>
      <c r="G9" s="34"/>
    </row>
    <row r="10" spans="1:7" ht="15.6" customHeight="1" x14ac:dyDescent="0.2">
      <c r="A10" s="2" t="s">
        <v>216</v>
      </c>
      <c r="B10" s="2" t="s">
        <v>225</v>
      </c>
      <c r="D10" s="32">
        <v>8</v>
      </c>
      <c r="E10" s="33" t="s">
        <v>189</v>
      </c>
      <c r="F10" s="34">
        <v>45411</v>
      </c>
      <c r="G10" s="34"/>
    </row>
    <row r="11" spans="1:7" ht="15.6" customHeight="1" x14ac:dyDescent="0.2">
      <c r="A11" s="2" t="s">
        <v>34</v>
      </c>
      <c r="B11" s="2" t="s">
        <v>41</v>
      </c>
      <c r="D11" s="32">
        <v>9</v>
      </c>
      <c r="E11" s="33" t="s">
        <v>272</v>
      </c>
      <c r="F11" s="34">
        <v>45667</v>
      </c>
      <c r="G11" s="34"/>
    </row>
    <row r="12" spans="1:7" ht="15.6" customHeight="1" x14ac:dyDescent="0.2">
      <c r="A12" s="2" t="s">
        <v>35</v>
      </c>
      <c r="B12" s="2"/>
      <c r="D12" s="15">
        <v>10</v>
      </c>
      <c r="E12" s="16" t="s">
        <v>164</v>
      </c>
      <c r="F12" s="17">
        <v>45740</v>
      </c>
      <c r="G12" s="17">
        <f t="shared" ref="G12:G13" si="0">F12+15</f>
        <v>45755</v>
      </c>
    </row>
    <row r="13" spans="1:7" ht="15.6" customHeight="1" x14ac:dyDescent="0.2">
      <c r="A13" s="2" t="s">
        <v>529</v>
      </c>
      <c r="B13" s="2" t="s">
        <v>539</v>
      </c>
      <c r="D13" s="11">
        <v>11</v>
      </c>
      <c r="E13" s="8" t="s">
        <v>75</v>
      </c>
      <c r="F13" s="9">
        <v>45841</v>
      </c>
      <c r="G13" s="9">
        <f t="shared" si="0"/>
        <v>45856</v>
      </c>
    </row>
    <row r="14" spans="1:7" ht="15.6" customHeight="1" x14ac:dyDescent="0.2">
      <c r="D14" s="11">
        <v>12</v>
      </c>
      <c r="E14" s="8" t="s">
        <v>76</v>
      </c>
      <c r="F14" s="21" t="s">
        <v>456</v>
      </c>
      <c r="G14" s="9"/>
    </row>
    <row r="15" spans="1:7" ht="15.6" customHeight="1" x14ac:dyDescent="0.2">
      <c r="A15" s="1" t="s">
        <v>29</v>
      </c>
      <c r="D15" s="11">
        <v>13</v>
      </c>
      <c r="E15" s="8" t="s">
        <v>77</v>
      </c>
      <c r="F15" s="9">
        <v>45894</v>
      </c>
      <c r="G15" s="9"/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347</v>
      </c>
    </row>
    <row r="19" spans="1:2" x14ac:dyDescent="0.2">
      <c r="A19" t="s">
        <v>14</v>
      </c>
      <c r="B19" t="s">
        <v>48</v>
      </c>
    </row>
    <row r="20" spans="1:2" x14ac:dyDescent="0.2">
      <c r="A20" t="s">
        <v>15</v>
      </c>
      <c r="B20" t="s">
        <v>48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524</v>
      </c>
    </row>
    <row r="23" spans="1:2" x14ac:dyDescent="0.2">
      <c r="A23" t="s">
        <v>18</v>
      </c>
      <c r="B23" t="s">
        <v>51</v>
      </c>
    </row>
    <row r="24" spans="1:2" x14ac:dyDescent="0.2">
      <c r="A24" t="s">
        <v>19</v>
      </c>
      <c r="B24" t="s">
        <v>111</v>
      </c>
    </row>
    <row r="25" spans="1:2" x14ac:dyDescent="0.2">
      <c r="A25" t="s">
        <v>20</v>
      </c>
      <c r="B25" t="s">
        <v>112</v>
      </c>
    </row>
    <row r="26" spans="1:2" x14ac:dyDescent="0.2">
      <c r="A26" t="s">
        <v>21</v>
      </c>
      <c r="B26" t="s">
        <v>107</v>
      </c>
    </row>
    <row r="27" spans="1:2" x14ac:dyDescent="0.2">
      <c r="A27" t="s">
        <v>237</v>
      </c>
      <c r="B27" t="s">
        <v>112</v>
      </c>
    </row>
    <row r="28" spans="1:2" x14ac:dyDescent="0.2">
      <c r="A28" t="s">
        <v>22</v>
      </c>
      <c r="B28" t="s">
        <v>112</v>
      </c>
    </row>
    <row r="29" spans="1:2" x14ac:dyDescent="0.2">
      <c r="A29" t="s">
        <v>23</v>
      </c>
      <c r="B29" t="s">
        <v>175</v>
      </c>
    </row>
    <row r="30" spans="1:2" x14ac:dyDescent="0.2">
      <c r="A30" t="s">
        <v>24</v>
      </c>
      <c r="B30" t="s">
        <v>176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508</v>
      </c>
    </row>
    <row r="33" spans="1:2" x14ac:dyDescent="0.2">
      <c r="A33" s="45" t="s">
        <v>26</v>
      </c>
      <c r="B33" s="44" t="s">
        <v>193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225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190</v>
      </c>
    </row>
    <row r="40" spans="1:2" ht="25.5" x14ac:dyDescent="0.2">
      <c r="A40" s="3"/>
      <c r="B40" s="4" t="s">
        <v>191</v>
      </c>
    </row>
    <row r="41" spans="1:2" x14ac:dyDescent="0.2">
      <c r="A41" s="3"/>
      <c r="B41" s="4" t="s">
        <v>273</v>
      </c>
    </row>
    <row r="42" spans="1:2" x14ac:dyDescent="0.2">
      <c r="A42" s="3"/>
      <c r="B42" s="4" t="s">
        <v>274</v>
      </c>
    </row>
    <row r="43" spans="1:2" x14ac:dyDescent="0.2">
      <c r="A43" s="3"/>
      <c r="B43" s="4" t="s">
        <v>427</v>
      </c>
    </row>
    <row r="44" spans="1:2" x14ac:dyDescent="0.2">
      <c r="A44" s="3"/>
      <c r="B44" s="4" t="s">
        <v>446</v>
      </c>
    </row>
    <row r="45" spans="1:2" x14ac:dyDescent="0.2">
      <c r="A45" s="3"/>
      <c r="B45" s="4" t="s">
        <v>472</v>
      </c>
    </row>
    <row r="46" spans="1:2" x14ac:dyDescent="0.2">
      <c r="A46" s="3"/>
      <c r="B46" s="4" t="s">
        <v>473</v>
      </c>
    </row>
    <row r="47" spans="1:2" x14ac:dyDescent="0.2">
      <c r="A47" s="3" t="s">
        <v>1</v>
      </c>
      <c r="B47" s="4" t="s">
        <v>516</v>
      </c>
    </row>
    <row r="48" spans="1:2" x14ac:dyDescent="0.2">
      <c r="A48" s="3" t="s">
        <v>1</v>
      </c>
      <c r="B48" s="4" t="s">
        <v>517</v>
      </c>
    </row>
    <row r="49" spans="1:2" ht="51" x14ac:dyDescent="0.2">
      <c r="A49" s="3" t="s">
        <v>1</v>
      </c>
      <c r="B49" s="4" t="s">
        <v>544</v>
      </c>
    </row>
    <row r="50" spans="1:2" ht="51" x14ac:dyDescent="0.2">
      <c r="A50" s="3" t="s">
        <v>1</v>
      </c>
      <c r="B50" s="4" t="s">
        <v>564</v>
      </c>
    </row>
  </sheetData>
  <dataValidations count="5">
    <dataValidation type="list" allowBlank="1" showInputMessage="1" showErrorMessage="1" sqref="B6" xr:uid="{59DF296A-F7F8-4432-AA3C-30556884CDE5}">
      <formula1>"CWE ≤ ECC, CWE ≥ ECC, CWE ? ECC"</formula1>
    </dataValidation>
    <dataValidation type="list" allowBlank="1" showInputMessage="1" sqref="B7" xr:uid="{60AB351E-4163-4DE9-9590-E37111200DD1}">
      <formula1>"Yes, No, Unknown"</formula1>
    </dataValidation>
    <dataValidation type="list" allowBlank="1" showInputMessage="1" sqref="B8" xr:uid="{F7FC9919-3B22-4AA2-82B4-79A732EBF767}">
      <formula1>"MILCON, SRM, O&amp;M, Host Nation, Other"</formula1>
    </dataValidation>
    <dataValidation type="list" allowBlank="1" showInputMessage="1" sqref="B9:B10" xr:uid="{15E4E725-9723-4D16-9725-98C2118E978F}">
      <formula1>"Army, Air Force, Navy, Marines, DPW, DLA, DoDEA"</formula1>
    </dataValidation>
    <dataValidation type="list" allowBlank="1" showInputMessage="1" sqref="B11" xr:uid="{CBD0F24C-BBC3-49CD-BD1A-2CC2771CFB9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8D9B1-10BF-4C6A-8D7D-2A9E5FF706C6}">
  <sheetPr codeName="Sheet16"/>
  <dimension ref="A1:G52"/>
  <sheetViews>
    <sheetView showGridLines="0" workbookViewId="0">
      <selection activeCell="E28" sqref="E28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7" width="10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484</v>
      </c>
      <c r="D3" s="26">
        <v>1</v>
      </c>
      <c r="E3" s="27" t="s">
        <v>66</v>
      </c>
      <c r="F3" s="28">
        <v>45183</v>
      </c>
      <c r="G3" s="28"/>
    </row>
    <row r="4" spans="1:7" ht="15.6" customHeight="1" x14ac:dyDescent="0.2">
      <c r="A4" s="2" t="s">
        <v>5</v>
      </c>
      <c r="B4" s="2">
        <v>511143</v>
      </c>
      <c r="D4" s="26">
        <v>2</v>
      </c>
      <c r="E4" s="27" t="s">
        <v>67</v>
      </c>
      <c r="F4" s="28">
        <v>45194</v>
      </c>
      <c r="G4" s="28">
        <v>45198</v>
      </c>
    </row>
    <row r="5" spans="1:7" ht="15.6" customHeight="1" x14ac:dyDescent="0.2">
      <c r="A5" s="2" t="s">
        <v>6</v>
      </c>
      <c r="B5" s="2" t="s">
        <v>142</v>
      </c>
      <c r="D5" s="26">
        <v>3</v>
      </c>
      <c r="E5" s="27" t="s">
        <v>68</v>
      </c>
      <c r="F5" s="28">
        <v>45222</v>
      </c>
      <c r="G5" s="28"/>
    </row>
    <row r="6" spans="1:7" ht="15.6" customHeight="1" x14ac:dyDescent="0.2">
      <c r="A6" s="2" t="s">
        <v>7</v>
      </c>
      <c r="B6" s="2" t="s">
        <v>108</v>
      </c>
      <c r="D6" s="26">
        <v>4</v>
      </c>
      <c r="E6" s="27" t="s">
        <v>146</v>
      </c>
      <c r="F6" s="28">
        <v>45345</v>
      </c>
      <c r="G6" s="28"/>
    </row>
    <row r="7" spans="1:7" ht="15.6" customHeight="1" x14ac:dyDescent="0.2">
      <c r="A7" s="2" t="s">
        <v>8</v>
      </c>
      <c r="B7" s="2" t="s">
        <v>39</v>
      </c>
      <c r="D7" s="26">
        <v>6</v>
      </c>
      <c r="E7" s="27" t="s">
        <v>71</v>
      </c>
      <c r="F7" s="28">
        <v>45385</v>
      </c>
      <c r="G7" s="28">
        <v>45404</v>
      </c>
    </row>
    <row r="8" spans="1:7" ht="15.6" customHeight="1" x14ac:dyDescent="0.2">
      <c r="A8" s="2" t="s">
        <v>33</v>
      </c>
      <c r="B8" s="2" t="s">
        <v>40</v>
      </c>
      <c r="D8" s="26">
        <v>7</v>
      </c>
      <c r="E8" s="27" t="s">
        <v>72</v>
      </c>
      <c r="F8" s="28"/>
      <c r="G8" s="28">
        <v>45414</v>
      </c>
    </row>
    <row r="9" spans="1:7" ht="15.6" customHeight="1" x14ac:dyDescent="0.2">
      <c r="A9" s="2" t="s">
        <v>32</v>
      </c>
      <c r="B9" s="2" t="s">
        <v>102</v>
      </c>
      <c r="D9" s="22">
        <v>8</v>
      </c>
      <c r="E9" s="23" t="s">
        <v>73</v>
      </c>
      <c r="F9" s="38">
        <v>45810</v>
      </c>
      <c r="G9" s="24"/>
    </row>
    <row r="10" spans="1:7" ht="15.6" customHeight="1" x14ac:dyDescent="0.2">
      <c r="A10" s="2" t="s">
        <v>216</v>
      </c>
      <c r="B10" s="2" t="s">
        <v>223</v>
      </c>
      <c r="D10" s="11">
        <v>9</v>
      </c>
      <c r="E10" s="8" t="s">
        <v>72</v>
      </c>
      <c r="F10" s="9">
        <v>45847</v>
      </c>
      <c r="G10" s="9">
        <v>45848</v>
      </c>
    </row>
    <row r="11" spans="1:7" ht="15.6" customHeight="1" x14ac:dyDescent="0.2">
      <c r="A11" s="2" t="s">
        <v>34</v>
      </c>
      <c r="B11" s="2" t="s">
        <v>41</v>
      </c>
      <c r="D11" s="11">
        <v>10</v>
      </c>
      <c r="E11" s="8" t="s">
        <v>74</v>
      </c>
      <c r="F11" s="9">
        <v>45908</v>
      </c>
      <c r="G11" s="9"/>
    </row>
    <row r="12" spans="1:7" ht="15.6" customHeight="1" x14ac:dyDescent="0.2">
      <c r="A12" s="2" t="s">
        <v>35</v>
      </c>
      <c r="B12" s="2"/>
      <c r="D12" s="11">
        <v>11</v>
      </c>
      <c r="E12" s="8" t="s">
        <v>72</v>
      </c>
      <c r="F12" s="9">
        <v>45944</v>
      </c>
      <c r="G12" s="9">
        <v>45945</v>
      </c>
    </row>
    <row r="13" spans="1:7" ht="15.6" customHeight="1" x14ac:dyDescent="0.2">
      <c r="A13" s="2" t="s">
        <v>529</v>
      </c>
      <c r="B13" s="2" t="s">
        <v>542</v>
      </c>
      <c r="D13" s="11">
        <v>12</v>
      </c>
      <c r="E13" s="8" t="s">
        <v>75</v>
      </c>
      <c r="F13" s="21">
        <v>45971</v>
      </c>
      <c r="G13" s="9"/>
    </row>
    <row r="14" spans="1:7" ht="15.6" customHeight="1" x14ac:dyDescent="0.2">
      <c r="D14" s="11">
        <v>13</v>
      </c>
      <c r="E14" s="8" t="s">
        <v>76</v>
      </c>
      <c r="F14" s="21">
        <v>45999</v>
      </c>
      <c r="G14" s="9"/>
    </row>
    <row r="15" spans="1:7" ht="15.6" customHeight="1" x14ac:dyDescent="0.2">
      <c r="A15" s="1" t="s">
        <v>29</v>
      </c>
      <c r="D15" s="11">
        <v>14</v>
      </c>
      <c r="E15" s="8" t="s">
        <v>77</v>
      </c>
      <c r="F15" s="21">
        <v>46013</v>
      </c>
      <c r="G15" s="9"/>
    </row>
    <row r="16" spans="1:7" ht="15.6" customHeight="1" x14ac:dyDescent="0.2">
      <c r="A16" t="s">
        <v>11</v>
      </c>
      <c r="B16" t="s">
        <v>28</v>
      </c>
      <c r="D16" s="11">
        <v>15</v>
      </c>
      <c r="E16" s="8" t="s">
        <v>78</v>
      </c>
      <c r="F16" s="21" t="s">
        <v>80</v>
      </c>
      <c r="G16" s="9"/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105</v>
      </c>
    </row>
    <row r="19" spans="1:2" x14ac:dyDescent="0.2">
      <c r="A19" t="s">
        <v>14</v>
      </c>
      <c r="B19" t="s">
        <v>135</v>
      </c>
    </row>
    <row r="20" spans="1:2" x14ac:dyDescent="0.2">
      <c r="A20" t="s">
        <v>15</v>
      </c>
      <c r="B20" t="s">
        <v>147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106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345</v>
      </c>
    </row>
    <row r="26" spans="1:2" x14ac:dyDescent="0.2">
      <c r="A26" t="s">
        <v>239</v>
      </c>
      <c r="B26" t="s">
        <v>107</v>
      </c>
    </row>
    <row r="27" spans="1:2" x14ac:dyDescent="0.2">
      <c r="A27" t="s">
        <v>237</v>
      </c>
      <c r="B27" t="s">
        <v>345</v>
      </c>
    </row>
    <row r="28" spans="1:2" x14ac:dyDescent="0.2">
      <c r="A28" t="s">
        <v>22</v>
      </c>
      <c r="B28" t="s">
        <v>345</v>
      </c>
    </row>
    <row r="29" spans="1:2" x14ac:dyDescent="0.2">
      <c r="A29" t="s">
        <v>23</v>
      </c>
      <c r="B29" t="s">
        <v>175</v>
      </c>
    </row>
    <row r="30" spans="1:2" x14ac:dyDescent="0.2">
      <c r="A30" t="s">
        <v>24</v>
      </c>
      <c r="B30" t="s">
        <v>176</v>
      </c>
    </row>
    <row r="31" spans="1:2" x14ac:dyDescent="0.2">
      <c r="A31" t="s">
        <v>25</v>
      </c>
      <c r="B31" t="s">
        <v>50</v>
      </c>
    </row>
    <row r="32" spans="1:2" x14ac:dyDescent="0.2">
      <c r="A32" t="s">
        <v>30</v>
      </c>
      <c r="B32" t="s">
        <v>147</v>
      </c>
    </row>
    <row r="33" spans="1:2" x14ac:dyDescent="0.2">
      <c r="A33" t="s">
        <v>26</v>
      </c>
      <c r="B33" t="s">
        <v>52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223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B39" t="s">
        <v>150</v>
      </c>
    </row>
    <row r="40" spans="1:2" ht="38.25" x14ac:dyDescent="0.2">
      <c r="A40" s="3"/>
      <c r="B40" s="4" t="s">
        <v>149</v>
      </c>
    </row>
    <row r="41" spans="1:2" ht="25.5" x14ac:dyDescent="0.2">
      <c r="A41" s="3"/>
      <c r="B41" s="4" t="s">
        <v>195</v>
      </c>
    </row>
    <row r="42" spans="1:2" ht="25.5" x14ac:dyDescent="0.2">
      <c r="A42" s="3"/>
      <c r="B42" s="4" t="s">
        <v>264</v>
      </c>
    </row>
    <row r="43" spans="1:2" x14ac:dyDescent="0.2">
      <c r="A43" s="3"/>
      <c r="B43" s="4" t="s">
        <v>412</v>
      </c>
    </row>
    <row r="44" spans="1:2" ht="25.5" x14ac:dyDescent="0.2">
      <c r="A44" s="3"/>
      <c r="B44" s="4" t="s">
        <v>413</v>
      </c>
    </row>
    <row r="45" spans="1:2" x14ac:dyDescent="0.2">
      <c r="A45" s="3"/>
      <c r="B45" s="4" t="s">
        <v>428</v>
      </c>
    </row>
    <row r="46" spans="1:2" ht="25.5" x14ac:dyDescent="0.2">
      <c r="A46" s="3"/>
      <c r="B46" s="4" t="s">
        <v>447</v>
      </c>
    </row>
    <row r="47" spans="1:2" x14ac:dyDescent="0.2">
      <c r="A47" s="3" t="s">
        <v>1</v>
      </c>
      <c r="B47" s="4" t="s">
        <v>464</v>
      </c>
    </row>
    <row r="48" spans="1:2" ht="25.5" x14ac:dyDescent="0.2">
      <c r="A48" s="3"/>
      <c r="B48" s="4" t="s">
        <v>465</v>
      </c>
    </row>
    <row r="49" spans="1:2" ht="38.25" x14ac:dyDescent="0.2">
      <c r="A49" s="3"/>
      <c r="B49" s="4" t="s">
        <v>474</v>
      </c>
    </row>
    <row r="50" spans="1:2" ht="25.5" x14ac:dyDescent="0.2">
      <c r="A50" s="3" t="s">
        <v>1</v>
      </c>
      <c r="B50" s="4" t="s">
        <v>555</v>
      </c>
    </row>
    <row r="51" spans="1:2" ht="51" x14ac:dyDescent="0.2">
      <c r="A51" s="3" t="s">
        <v>1</v>
      </c>
      <c r="B51" s="4" t="s">
        <v>556</v>
      </c>
    </row>
    <row r="52" spans="1:2" ht="25.5" x14ac:dyDescent="0.2">
      <c r="A52" s="3" t="s">
        <v>1</v>
      </c>
      <c r="B52" s="4" t="s">
        <v>557</v>
      </c>
    </row>
  </sheetData>
  <dataValidations disablePrompts="1" count="5">
    <dataValidation type="list" allowBlank="1" showInputMessage="1" showErrorMessage="1" sqref="B6" xr:uid="{226A1B29-C7EF-4187-B434-7183CE709B4A}">
      <formula1>"CWE ≤ ECC, CWE ≥ ECC, CWE ? ECC"</formula1>
    </dataValidation>
    <dataValidation type="list" allowBlank="1" showInputMessage="1" sqref="B7" xr:uid="{32616134-F0D7-4E42-A421-8D08CD708F5E}">
      <formula1>"Yes, No, Unknown"</formula1>
    </dataValidation>
    <dataValidation type="list" allowBlank="1" showInputMessage="1" sqref="B8" xr:uid="{EB25F154-E0EB-4C34-B98F-97DE86B748F0}">
      <formula1>"MILCON, SRM, O&amp;M, Host Nation, Other"</formula1>
    </dataValidation>
    <dataValidation type="list" allowBlank="1" showInputMessage="1" sqref="B9:B10" xr:uid="{50AAE730-B76A-4C38-9622-27921778EEDC}">
      <formula1>"Army, Air Force, Navy, Marines, DPW, DLA, DoDEA"</formula1>
    </dataValidation>
    <dataValidation type="list" allowBlank="1" showInputMessage="1" sqref="B11" xr:uid="{CFFF1E13-F21C-4AC5-8F50-79645D78E83F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956C4-3D95-4465-9B3B-31EFCBE0B768}">
  <sheetPr codeName="Sheet17"/>
  <dimension ref="A1:H43"/>
  <sheetViews>
    <sheetView showGridLines="0" workbookViewId="0">
      <selection activeCell="E25" sqref="E25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151</v>
      </c>
      <c r="D3" s="15">
        <v>1</v>
      </c>
      <c r="E3" s="16" t="s">
        <v>66</v>
      </c>
      <c r="F3" s="17" t="s">
        <v>80</v>
      </c>
      <c r="G3" s="17"/>
      <c r="H3" s="17"/>
    </row>
    <row r="4" spans="1:8" ht="15.75" customHeight="1" x14ac:dyDescent="0.2">
      <c r="A4" s="2" t="s">
        <v>5</v>
      </c>
      <c r="B4" s="2">
        <v>516747</v>
      </c>
      <c r="D4" s="11">
        <v>2</v>
      </c>
      <c r="E4" s="8" t="s">
        <v>67</v>
      </c>
      <c r="F4" s="9"/>
      <c r="G4" s="9"/>
      <c r="H4" s="9"/>
    </row>
    <row r="5" spans="1:8" ht="15.75" customHeight="1" x14ac:dyDescent="0.2">
      <c r="A5" s="2" t="s">
        <v>6</v>
      </c>
      <c r="B5" s="25" t="s">
        <v>204</v>
      </c>
      <c r="D5" s="11">
        <v>3</v>
      </c>
      <c r="E5" s="8" t="s">
        <v>71</v>
      </c>
      <c r="F5" s="9"/>
      <c r="G5" s="9"/>
      <c r="H5" s="9"/>
    </row>
    <row r="6" spans="1:8" ht="15.75" customHeight="1" x14ac:dyDescent="0.2">
      <c r="A6" s="2" t="s">
        <v>7</v>
      </c>
      <c r="B6" s="2" t="s">
        <v>110</v>
      </c>
      <c r="D6" s="11">
        <v>4</v>
      </c>
      <c r="E6" s="8" t="s">
        <v>73</v>
      </c>
      <c r="F6" s="9"/>
      <c r="G6" s="9"/>
      <c r="H6" s="9"/>
    </row>
    <row r="7" spans="1:8" ht="15.75" customHeight="1" x14ac:dyDescent="0.2">
      <c r="A7" s="2" t="s">
        <v>8</v>
      </c>
      <c r="B7" s="2" t="s">
        <v>39</v>
      </c>
      <c r="D7" s="11">
        <v>5</v>
      </c>
      <c r="E7" s="8" t="s">
        <v>74</v>
      </c>
      <c r="F7" s="9"/>
      <c r="G7" s="9"/>
      <c r="H7" s="9"/>
    </row>
    <row r="8" spans="1:8" ht="15.75" customHeight="1" x14ac:dyDescent="0.2">
      <c r="A8" s="2" t="s">
        <v>33</v>
      </c>
      <c r="B8" s="2" t="s">
        <v>40</v>
      </c>
      <c r="D8" s="11">
        <v>6</v>
      </c>
      <c r="E8" s="8" t="s">
        <v>75</v>
      </c>
      <c r="F8" s="9"/>
      <c r="G8" s="9"/>
      <c r="H8" s="9"/>
    </row>
    <row r="9" spans="1:8" ht="15.75" customHeight="1" x14ac:dyDescent="0.2">
      <c r="A9" s="2" t="s">
        <v>32</v>
      </c>
      <c r="B9" s="2" t="s">
        <v>94</v>
      </c>
      <c r="D9" s="11">
        <v>7</v>
      </c>
      <c r="E9" s="8" t="s">
        <v>77</v>
      </c>
      <c r="F9" s="9"/>
      <c r="G9" s="9"/>
      <c r="H9" s="9"/>
    </row>
    <row r="10" spans="1:8" ht="15.75" customHeight="1" x14ac:dyDescent="0.2">
      <c r="A10" s="2" t="s">
        <v>216</v>
      </c>
      <c r="B10" s="2" t="s">
        <v>226</v>
      </c>
      <c r="D10" s="11">
        <v>8</v>
      </c>
      <c r="E10" s="8" t="s">
        <v>91</v>
      </c>
      <c r="F10" s="9"/>
      <c r="G10" s="9"/>
      <c r="H10" s="9"/>
    </row>
    <row r="11" spans="1:8" ht="15.75" customHeight="1" x14ac:dyDescent="0.2">
      <c r="A11" s="2" t="s">
        <v>34</v>
      </c>
      <c r="B11" s="2" t="s">
        <v>41</v>
      </c>
    </row>
    <row r="12" spans="1:8" ht="15.75" customHeight="1" x14ac:dyDescent="0.2">
      <c r="A12" s="2" t="s">
        <v>35</v>
      </c>
      <c r="B12" s="2"/>
    </row>
    <row r="13" spans="1:8" ht="15.75" customHeight="1" x14ac:dyDescent="0.2"/>
    <row r="14" spans="1:8" ht="15.75" customHeight="1" x14ac:dyDescent="0.2">
      <c r="A14" s="1" t="s">
        <v>29</v>
      </c>
    </row>
    <row r="15" spans="1:8" ht="15.75" customHeight="1" x14ac:dyDescent="0.2">
      <c r="A15" t="s">
        <v>11</v>
      </c>
      <c r="B15" t="s">
        <v>28</v>
      </c>
    </row>
    <row r="16" spans="1:8" ht="15.75" customHeight="1" x14ac:dyDescent="0.2">
      <c r="A16" t="s">
        <v>12</v>
      </c>
      <c r="B16" t="s">
        <v>42</v>
      </c>
    </row>
    <row r="17" spans="1:2" ht="15.75" customHeight="1" x14ac:dyDescent="0.2">
      <c r="A17" t="s">
        <v>13</v>
      </c>
      <c r="B17" t="s">
        <v>84</v>
      </c>
    </row>
    <row r="18" spans="1:2" x14ac:dyDescent="0.2">
      <c r="A18" t="s">
        <v>14</v>
      </c>
      <c r="B18" t="s">
        <v>85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80</v>
      </c>
    </row>
    <row r="21" spans="1:2" x14ac:dyDescent="0.2">
      <c r="A21" t="s">
        <v>17</v>
      </c>
      <c r="B21" t="s">
        <v>80</v>
      </c>
    </row>
    <row r="22" spans="1:2" x14ac:dyDescent="0.2">
      <c r="A22" t="s">
        <v>18</v>
      </c>
      <c r="B22" t="s">
        <v>80</v>
      </c>
    </row>
    <row r="23" spans="1:2" x14ac:dyDescent="0.2">
      <c r="A23" t="s">
        <v>19</v>
      </c>
      <c r="B23" t="s">
        <v>80</v>
      </c>
    </row>
    <row r="24" spans="1:2" x14ac:dyDescent="0.2">
      <c r="A24" t="s">
        <v>20</v>
      </c>
      <c r="B24" t="s">
        <v>80</v>
      </c>
    </row>
    <row r="25" spans="1:2" x14ac:dyDescent="0.2">
      <c r="A25" t="s">
        <v>21</v>
      </c>
      <c r="B25" t="s">
        <v>80</v>
      </c>
    </row>
    <row r="26" spans="1:2" x14ac:dyDescent="0.2">
      <c r="A26" t="s">
        <v>22</v>
      </c>
      <c r="B26" t="s">
        <v>80</v>
      </c>
    </row>
    <row r="27" spans="1:2" x14ac:dyDescent="0.2">
      <c r="A27" t="s">
        <v>23</v>
      </c>
      <c r="B27" t="s">
        <v>80</v>
      </c>
    </row>
    <row r="28" spans="1:2" x14ac:dyDescent="0.2">
      <c r="A28" t="s">
        <v>24</v>
      </c>
      <c r="B28" t="s">
        <v>80</v>
      </c>
    </row>
    <row r="29" spans="1:2" x14ac:dyDescent="0.2">
      <c r="A29" t="s">
        <v>25</v>
      </c>
      <c r="B29" t="s">
        <v>80</v>
      </c>
    </row>
    <row r="30" spans="1:2" x14ac:dyDescent="0.2">
      <c r="A30" t="s">
        <v>30</v>
      </c>
      <c r="B30" t="s">
        <v>80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80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205</v>
      </c>
    </row>
    <row r="37" spans="1:2" ht="25.5" x14ac:dyDescent="0.2">
      <c r="A37" s="3"/>
      <c r="B37" s="4" t="s">
        <v>201</v>
      </c>
    </row>
    <row r="38" spans="1:2" ht="25.5" x14ac:dyDescent="0.2">
      <c r="A38" s="3"/>
      <c r="B38" s="4" t="s">
        <v>203</v>
      </c>
    </row>
    <row r="39" spans="1:2" ht="25.5" x14ac:dyDescent="0.2">
      <c r="A39" s="3"/>
      <c r="B39" s="4" t="s">
        <v>152</v>
      </c>
    </row>
    <row r="40" spans="1:2" ht="38.25" x14ac:dyDescent="0.2">
      <c r="A40" s="3"/>
      <c r="B40" s="4" t="s">
        <v>202</v>
      </c>
    </row>
    <row r="41" spans="1:2" ht="25.5" x14ac:dyDescent="0.2">
      <c r="A41" s="3"/>
      <c r="B41" s="4" t="s">
        <v>185</v>
      </c>
    </row>
    <row r="42" spans="1:2" x14ac:dyDescent="0.2">
      <c r="A42" s="3" t="s">
        <v>1</v>
      </c>
      <c r="B42" s="4" t="s">
        <v>212</v>
      </c>
    </row>
    <row r="43" spans="1:2" x14ac:dyDescent="0.2">
      <c r="A43" s="3" t="s">
        <v>1</v>
      </c>
      <c r="B43" s="4" t="s">
        <v>396</v>
      </c>
    </row>
  </sheetData>
  <dataValidations count="5">
    <dataValidation type="list" allowBlank="1" showInputMessage="1" showErrorMessage="1" sqref="B6" xr:uid="{6DE9758A-61EA-439B-9DCD-F7442DC2F322}">
      <formula1>"CWE ≤ ECC, CWE ≥ ECC, CWE ? ECC"</formula1>
    </dataValidation>
    <dataValidation type="list" allowBlank="1" showInputMessage="1" sqref="B7" xr:uid="{BABC1A1E-6FAB-4C81-969F-F5D7370CCC3E}">
      <formula1>"Yes, No, Unknown"</formula1>
    </dataValidation>
    <dataValidation type="list" allowBlank="1" showInputMessage="1" sqref="B8" xr:uid="{8B974633-94BF-4D79-AB87-3826C0318666}">
      <formula1>"MILCON, SRM, O&amp;M, Host Nation, Other"</formula1>
    </dataValidation>
    <dataValidation type="list" allowBlank="1" showInputMessage="1" sqref="B9:B10" xr:uid="{F524553C-C7B0-4988-947C-841D5F9457E2}">
      <formula1>"Army, Air Force, Navy, Marines, DPW, DLA, DoDEA"</formula1>
    </dataValidation>
    <dataValidation type="list" allowBlank="1" showInputMessage="1" sqref="B11" xr:uid="{E76DD271-7F6D-4CFB-8F11-C69B6F1739D6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5FA8E-5284-469E-A1A4-1C97B999A544}">
  <sheetPr codeName="Sheet18"/>
  <dimension ref="A1:H37"/>
  <sheetViews>
    <sheetView showGridLines="0" workbookViewId="0">
      <selection activeCell="G27" sqref="G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153</v>
      </c>
      <c r="D3" s="18">
        <v>1</v>
      </c>
      <c r="E3" s="19" t="s">
        <v>66</v>
      </c>
      <c r="F3" s="20" t="s">
        <v>80</v>
      </c>
      <c r="G3" s="20"/>
      <c r="H3" s="20"/>
    </row>
    <row r="4" spans="1:8" ht="15.6" customHeight="1" x14ac:dyDescent="0.2">
      <c r="A4" s="2" t="s">
        <v>5</v>
      </c>
      <c r="B4" s="2" t="s">
        <v>80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80</v>
      </c>
      <c r="D5" s="11">
        <v>6</v>
      </c>
      <c r="E5" s="8" t="s">
        <v>71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8</v>
      </c>
      <c r="E6" s="8" t="s">
        <v>73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10</v>
      </c>
      <c r="E7" s="8" t="s">
        <v>74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12</v>
      </c>
      <c r="E8" s="8" t="s">
        <v>75</v>
      </c>
      <c r="F8" s="9"/>
      <c r="G8" s="9"/>
      <c r="H8" s="9"/>
    </row>
    <row r="9" spans="1:8" ht="15.6" customHeight="1" x14ac:dyDescent="0.2">
      <c r="A9" s="2" t="s">
        <v>32</v>
      </c>
      <c r="B9" s="2" t="s">
        <v>114</v>
      </c>
      <c r="D9" s="11">
        <v>14</v>
      </c>
      <c r="E9" s="8" t="s">
        <v>77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223</v>
      </c>
      <c r="D10" s="11">
        <v>15</v>
      </c>
      <c r="E10" s="8" t="s">
        <v>78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213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154</v>
      </c>
    </row>
    <row r="18" spans="1:2" x14ac:dyDescent="0.2">
      <c r="A18" t="s">
        <v>14</v>
      </c>
      <c r="B18" t="s">
        <v>80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80</v>
      </c>
    </row>
    <row r="21" spans="1:2" x14ac:dyDescent="0.2">
      <c r="A21" t="s">
        <v>17</v>
      </c>
      <c r="B21" t="s">
        <v>80</v>
      </c>
    </row>
    <row r="22" spans="1:2" x14ac:dyDescent="0.2">
      <c r="A22" t="s">
        <v>18</v>
      </c>
      <c r="B22" t="s">
        <v>80</v>
      </c>
    </row>
    <row r="23" spans="1:2" x14ac:dyDescent="0.2">
      <c r="A23" t="s">
        <v>19</v>
      </c>
      <c r="B23" t="s">
        <v>80</v>
      </c>
    </row>
    <row r="24" spans="1:2" x14ac:dyDescent="0.2">
      <c r="A24" t="s">
        <v>20</v>
      </c>
      <c r="B24" t="s">
        <v>80</v>
      </c>
    </row>
    <row r="25" spans="1:2" x14ac:dyDescent="0.2">
      <c r="A25" t="s">
        <v>21</v>
      </c>
      <c r="B25" t="s">
        <v>80</v>
      </c>
    </row>
    <row r="26" spans="1:2" x14ac:dyDescent="0.2">
      <c r="A26" t="s">
        <v>22</v>
      </c>
      <c r="B26" t="s">
        <v>80</v>
      </c>
    </row>
    <row r="27" spans="1:2" x14ac:dyDescent="0.2">
      <c r="A27" t="s">
        <v>23</v>
      </c>
      <c r="B27" t="s">
        <v>80</v>
      </c>
    </row>
    <row r="28" spans="1:2" x14ac:dyDescent="0.2">
      <c r="A28" t="s">
        <v>24</v>
      </c>
      <c r="B28" t="s">
        <v>80</v>
      </c>
    </row>
    <row r="29" spans="1:2" x14ac:dyDescent="0.2">
      <c r="A29" t="s">
        <v>25</v>
      </c>
      <c r="B29" t="s">
        <v>80</v>
      </c>
    </row>
    <row r="30" spans="1:2" x14ac:dyDescent="0.2">
      <c r="A30" t="s">
        <v>30</v>
      </c>
      <c r="B30" t="s">
        <v>80</v>
      </c>
    </row>
    <row r="31" spans="1:2" x14ac:dyDescent="0.2">
      <c r="A31" t="s">
        <v>26</v>
      </c>
      <c r="B31" t="s">
        <v>80</v>
      </c>
    </row>
    <row r="32" spans="1:2" x14ac:dyDescent="0.2">
      <c r="A32" t="s">
        <v>27</v>
      </c>
      <c r="B32" t="s">
        <v>80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ht="25.5" x14ac:dyDescent="0.2">
      <c r="A36" s="3" t="s">
        <v>1</v>
      </c>
      <c r="B36" s="4" t="s">
        <v>155</v>
      </c>
    </row>
    <row r="37" spans="1:2" ht="25.5" x14ac:dyDescent="0.2">
      <c r="A37" s="3" t="s">
        <v>1</v>
      </c>
      <c r="B37" s="4" t="s">
        <v>156</v>
      </c>
    </row>
  </sheetData>
  <dataValidations count="5">
    <dataValidation type="list" allowBlank="1" showInputMessage="1" showErrorMessage="1" sqref="B6" xr:uid="{91990987-DF76-4D34-9B49-9F99E0DE79B2}">
      <formula1>"CWE ≤ ECC, CWE ≥ ECC, CWE ? ECC"</formula1>
    </dataValidation>
    <dataValidation type="list" allowBlank="1" showInputMessage="1" sqref="B7" xr:uid="{D2FB5A31-0C23-461A-A816-7265D077953F}">
      <formula1>"Yes, No, Unknown"</formula1>
    </dataValidation>
    <dataValidation type="list" allowBlank="1" showInputMessage="1" sqref="B8" xr:uid="{96F91876-FF0E-4682-ADF0-CE6FA2A624C0}">
      <formula1>"MILCON, SRM, O&amp;M, Host Nation, Other"</formula1>
    </dataValidation>
    <dataValidation type="list" allowBlank="1" showInputMessage="1" sqref="B9:B10" xr:uid="{F3E764AC-4D26-4D5C-95DF-DF7E184CED7A}">
      <formula1>"Army, Air Force, Navy, Marines, DPW, DLA, DoDEA"</formula1>
    </dataValidation>
    <dataValidation type="list" allowBlank="1" showInputMessage="1" sqref="B11" xr:uid="{FCF89955-FE65-407F-9745-1CD7752EBA38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3A72E-3BA5-4C06-9D74-A9C83167C68B}">
  <sheetPr codeName="Sheet20"/>
  <dimension ref="A1:O51"/>
  <sheetViews>
    <sheetView showGridLines="0" workbookViewId="0">
      <selection activeCell="F27" sqref="F27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165</v>
      </c>
      <c r="D3" s="26">
        <v>1</v>
      </c>
      <c r="E3" s="27" t="s">
        <v>66</v>
      </c>
      <c r="F3" s="28">
        <v>45309</v>
      </c>
      <c r="G3" s="28"/>
      <c r="H3" s="28"/>
    </row>
    <row r="4" spans="1:8" ht="15.6" customHeight="1" x14ac:dyDescent="0.2">
      <c r="A4" s="2" t="s">
        <v>5</v>
      </c>
      <c r="B4" s="2">
        <v>495489</v>
      </c>
      <c r="D4" s="26">
        <v>2</v>
      </c>
      <c r="E4" s="27" t="s">
        <v>67</v>
      </c>
      <c r="F4" s="28" t="s">
        <v>172</v>
      </c>
      <c r="G4" s="28"/>
      <c r="H4" s="28"/>
    </row>
    <row r="5" spans="1:8" ht="15.6" customHeight="1" x14ac:dyDescent="0.2">
      <c r="A5" s="2" t="s">
        <v>6</v>
      </c>
      <c r="B5" s="2" t="s">
        <v>169</v>
      </c>
      <c r="D5" s="26">
        <v>3</v>
      </c>
      <c r="E5" s="27" t="s">
        <v>68</v>
      </c>
      <c r="F5" s="28">
        <v>45355</v>
      </c>
      <c r="G5" s="28">
        <v>45356</v>
      </c>
      <c r="H5" s="28">
        <v>45373</v>
      </c>
    </row>
    <row r="6" spans="1:8" ht="15.6" customHeight="1" x14ac:dyDescent="0.2">
      <c r="A6" s="2" t="s">
        <v>7</v>
      </c>
      <c r="B6" s="2" t="s">
        <v>110</v>
      </c>
      <c r="D6" s="26">
        <v>4</v>
      </c>
      <c r="E6" s="27" t="s">
        <v>146</v>
      </c>
      <c r="F6" s="28">
        <v>45392</v>
      </c>
      <c r="G6" s="28">
        <v>45393</v>
      </c>
      <c r="H6" s="28">
        <v>45399</v>
      </c>
    </row>
    <row r="7" spans="1:8" ht="15.6" customHeight="1" x14ac:dyDescent="0.2">
      <c r="A7" s="2" t="s">
        <v>8</v>
      </c>
      <c r="B7" s="2" t="s">
        <v>39</v>
      </c>
      <c r="D7" s="26">
        <v>5</v>
      </c>
      <c r="E7" s="27" t="s">
        <v>71</v>
      </c>
      <c r="F7" s="28">
        <v>45450</v>
      </c>
      <c r="G7" s="28">
        <v>45455</v>
      </c>
      <c r="H7" s="28">
        <v>45485</v>
      </c>
    </row>
    <row r="8" spans="1:8" ht="15.6" customHeight="1" x14ac:dyDescent="0.2">
      <c r="A8" s="2" t="s">
        <v>33</v>
      </c>
      <c r="B8" s="2" t="s">
        <v>40</v>
      </c>
      <c r="D8" s="26">
        <v>7</v>
      </c>
      <c r="E8" s="27" t="s">
        <v>72</v>
      </c>
      <c r="F8" s="28" t="s">
        <v>362</v>
      </c>
      <c r="G8" s="28"/>
      <c r="H8" s="28"/>
    </row>
    <row r="9" spans="1:8" ht="15.6" customHeight="1" x14ac:dyDescent="0.2">
      <c r="A9" s="2" t="s">
        <v>32</v>
      </c>
      <c r="B9" s="2" t="s">
        <v>102</v>
      </c>
      <c r="D9" s="22">
        <v>8</v>
      </c>
      <c r="E9" s="23" t="s">
        <v>73</v>
      </c>
      <c r="F9" s="24">
        <v>45618</v>
      </c>
      <c r="G9" s="24">
        <v>45621</v>
      </c>
      <c r="H9" s="24">
        <v>45298</v>
      </c>
    </row>
    <row r="10" spans="1:8" ht="15.6" customHeight="1" x14ac:dyDescent="0.2">
      <c r="A10" s="2" t="s">
        <v>216</v>
      </c>
      <c r="B10" s="2" t="s">
        <v>218</v>
      </c>
      <c r="D10" s="11">
        <v>9</v>
      </c>
      <c r="E10" s="8" t="s">
        <v>72</v>
      </c>
      <c r="F10" s="9" t="s">
        <v>173</v>
      </c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10</v>
      </c>
      <c r="E11" s="8" t="s">
        <v>74</v>
      </c>
      <c r="F11" s="9">
        <v>45757</v>
      </c>
      <c r="G11" s="9">
        <v>45758</v>
      </c>
      <c r="H11" s="9">
        <v>45786</v>
      </c>
    </row>
    <row r="12" spans="1:8" ht="15.6" customHeight="1" x14ac:dyDescent="0.2">
      <c r="A12" s="2" t="s">
        <v>35</v>
      </c>
      <c r="B12" s="2"/>
      <c r="D12" s="11">
        <v>11</v>
      </c>
      <c r="E12" s="8" t="s">
        <v>72</v>
      </c>
      <c r="F12" s="9" t="s">
        <v>174</v>
      </c>
      <c r="G12" s="9"/>
      <c r="H12" s="9"/>
    </row>
    <row r="13" spans="1:8" ht="15.6" customHeight="1" x14ac:dyDescent="0.2">
      <c r="D13" s="11">
        <v>12</v>
      </c>
      <c r="E13" s="8" t="s">
        <v>75</v>
      </c>
      <c r="F13" s="9">
        <v>45847</v>
      </c>
      <c r="G13" s="9">
        <v>45848</v>
      </c>
      <c r="H13" s="9">
        <v>45895</v>
      </c>
    </row>
    <row r="14" spans="1:8" ht="15.6" customHeight="1" x14ac:dyDescent="0.2">
      <c r="A14" s="1" t="s">
        <v>29</v>
      </c>
      <c r="D14" s="11">
        <v>13</v>
      </c>
      <c r="E14" s="8" t="s">
        <v>76</v>
      </c>
      <c r="F14" s="9"/>
      <c r="G14" s="9">
        <v>45875</v>
      </c>
      <c r="H14" s="9">
        <v>45895</v>
      </c>
    </row>
    <row r="15" spans="1:8" ht="15.6" customHeight="1" x14ac:dyDescent="0.2">
      <c r="A15" t="s">
        <v>11</v>
      </c>
      <c r="B15" t="s">
        <v>28</v>
      </c>
      <c r="D15" s="11">
        <v>14</v>
      </c>
      <c r="E15" s="8" t="s">
        <v>77</v>
      </c>
      <c r="F15" s="9"/>
      <c r="G15" s="9">
        <v>45896</v>
      </c>
      <c r="H15" s="9">
        <v>45937</v>
      </c>
    </row>
    <row r="16" spans="1:8" ht="15.6" customHeight="1" x14ac:dyDescent="0.2">
      <c r="A16" t="s">
        <v>12</v>
      </c>
      <c r="B16" t="s">
        <v>433</v>
      </c>
      <c r="D16" s="11">
        <v>15</v>
      </c>
      <c r="E16" s="8" t="s">
        <v>78</v>
      </c>
      <c r="F16" s="9" t="s">
        <v>80</v>
      </c>
      <c r="G16" s="9"/>
      <c r="H16" s="9"/>
    </row>
    <row r="17" spans="1:15" ht="15.6" customHeight="1" x14ac:dyDescent="0.2">
      <c r="A17" t="s">
        <v>13</v>
      </c>
      <c r="B17" t="s">
        <v>166</v>
      </c>
    </row>
    <row r="18" spans="1:15" x14ac:dyDescent="0.2">
      <c r="A18" t="s">
        <v>14</v>
      </c>
      <c r="B18" t="s">
        <v>105</v>
      </c>
    </row>
    <row r="19" spans="1:15" x14ac:dyDescent="0.2">
      <c r="A19" t="s">
        <v>15</v>
      </c>
      <c r="B19" t="s">
        <v>167</v>
      </c>
    </row>
    <row r="20" spans="1:15" x14ac:dyDescent="0.2">
      <c r="A20" t="s">
        <v>16</v>
      </c>
      <c r="B20" t="s">
        <v>136</v>
      </c>
    </row>
    <row r="21" spans="1:15" x14ac:dyDescent="0.2">
      <c r="A21" t="s">
        <v>17</v>
      </c>
      <c r="B21" t="s">
        <v>101</v>
      </c>
    </row>
    <row r="22" spans="1:15" x14ac:dyDescent="0.2">
      <c r="A22" t="s">
        <v>18</v>
      </c>
      <c r="B22" t="s">
        <v>51</v>
      </c>
      <c r="M22">
        <f>23000/175</f>
        <v>131.42857142857142</v>
      </c>
    </row>
    <row r="23" spans="1:15" x14ac:dyDescent="0.2">
      <c r="A23" t="s">
        <v>19</v>
      </c>
      <c r="B23" t="s">
        <v>86</v>
      </c>
      <c r="M23">
        <f>M22-N23</f>
        <v>91.428571428571416</v>
      </c>
      <c r="N23">
        <v>40</v>
      </c>
      <c r="O23">
        <f>N23*175</f>
        <v>7000</v>
      </c>
    </row>
    <row r="24" spans="1:15" x14ac:dyDescent="0.2">
      <c r="A24" t="s">
        <v>20</v>
      </c>
      <c r="B24" t="s">
        <v>112</v>
      </c>
      <c r="M24">
        <f>M23-N24</f>
        <v>51.428571428571416</v>
      </c>
      <c r="N24">
        <v>40</v>
      </c>
    </row>
    <row r="25" spans="1:15" x14ac:dyDescent="0.2">
      <c r="A25" t="s">
        <v>21</v>
      </c>
      <c r="B25" t="s">
        <v>107</v>
      </c>
      <c r="N25">
        <v>40</v>
      </c>
    </row>
    <row r="26" spans="1:15" x14ac:dyDescent="0.2">
      <c r="A26" t="s">
        <v>22</v>
      </c>
      <c r="B26" t="s">
        <v>112</v>
      </c>
    </row>
    <row r="27" spans="1:15" x14ac:dyDescent="0.2">
      <c r="A27" t="s">
        <v>23</v>
      </c>
      <c r="B27" t="s">
        <v>175</v>
      </c>
    </row>
    <row r="28" spans="1:15" x14ac:dyDescent="0.2">
      <c r="A28" t="s">
        <v>24</v>
      </c>
      <c r="B28" t="s">
        <v>176</v>
      </c>
    </row>
    <row r="29" spans="1:15" x14ac:dyDescent="0.2">
      <c r="A29" t="s">
        <v>25</v>
      </c>
      <c r="B29" t="s">
        <v>305</v>
      </c>
    </row>
    <row r="30" spans="1:15" x14ac:dyDescent="0.2">
      <c r="A30" t="s">
        <v>30</v>
      </c>
      <c r="B30" t="s">
        <v>318</v>
      </c>
    </row>
    <row r="31" spans="1:15" x14ac:dyDescent="0.2">
      <c r="A31" t="s">
        <v>26</v>
      </c>
      <c r="B31" t="s">
        <v>316</v>
      </c>
    </row>
    <row r="32" spans="1:15" x14ac:dyDescent="0.2">
      <c r="A32" t="s">
        <v>27</v>
      </c>
      <c r="B32" t="s">
        <v>344</v>
      </c>
    </row>
    <row r="35" spans="1:2" x14ac:dyDescent="0.2">
      <c r="A35" s="1" t="s">
        <v>31</v>
      </c>
    </row>
    <row r="36" spans="1:2" ht="29.45" customHeight="1" x14ac:dyDescent="0.2">
      <c r="A36" t="s">
        <v>2</v>
      </c>
      <c r="B36" t="s">
        <v>0</v>
      </c>
    </row>
    <row r="37" spans="1:2" ht="38.25" x14ac:dyDescent="0.2">
      <c r="A37" s="3"/>
      <c r="B37" s="4" t="s">
        <v>228</v>
      </c>
    </row>
    <row r="38" spans="1:2" x14ac:dyDescent="0.2">
      <c r="A38" s="3"/>
      <c r="B38" s="4" t="s">
        <v>170</v>
      </c>
    </row>
    <row r="39" spans="1:2" ht="63.75" x14ac:dyDescent="0.2">
      <c r="A39" s="3"/>
      <c r="B39" s="4" t="s">
        <v>194</v>
      </c>
    </row>
    <row r="40" spans="1:2" ht="51" x14ac:dyDescent="0.2">
      <c r="A40" s="3"/>
      <c r="B40" s="4" t="s">
        <v>171</v>
      </c>
    </row>
    <row r="41" spans="1:2" x14ac:dyDescent="0.2">
      <c r="A41" s="3"/>
      <c r="B41" s="4" t="s">
        <v>227</v>
      </c>
    </row>
    <row r="42" spans="1:2" x14ac:dyDescent="0.2">
      <c r="A42" s="3"/>
      <c r="B42" s="4" t="s">
        <v>251</v>
      </c>
    </row>
    <row r="43" spans="1:2" ht="25.5" x14ac:dyDescent="0.2">
      <c r="A43" s="3"/>
      <c r="B43" s="4" t="s">
        <v>252</v>
      </c>
    </row>
    <row r="44" spans="1:2" x14ac:dyDescent="0.2">
      <c r="A44" s="3"/>
      <c r="B44" s="4" t="s">
        <v>265</v>
      </c>
    </row>
    <row r="45" spans="1:2" ht="25.5" x14ac:dyDescent="0.2">
      <c r="A45" s="3"/>
      <c r="B45" s="4" t="s">
        <v>301</v>
      </c>
    </row>
    <row r="46" spans="1:2" x14ac:dyDescent="0.2">
      <c r="A46" s="3"/>
      <c r="B46" s="4" t="s">
        <v>302</v>
      </c>
    </row>
    <row r="47" spans="1:2" ht="25.5" x14ac:dyDescent="0.2">
      <c r="A47" s="3"/>
      <c r="B47" s="4" t="s">
        <v>303</v>
      </c>
    </row>
    <row r="48" spans="1:2" ht="38.25" x14ac:dyDescent="0.2">
      <c r="A48" s="3"/>
      <c r="B48" s="4" t="s">
        <v>334</v>
      </c>
    </row>
    <row r="49" spans="1:2" ht="25.5" x14ac:dyDescent="0.2">
      <c r="A49" s="3" t="s">
        <v>1</v>
      </c>
      <c r="B49" s="4" t="s">
        <v>361</v>
      </c>
    </row>
    <row r="50" spans="1:2" ht="25.5" x14ac:dyDescent="0.2">
      <c r="A50" s="3"/>
      <c r="B50" s="4" t="s">
        <v>387</v>
      </c>
    </row>
    <row r="51" spans="1:2" x14ac:dyDescent="0.2">
      <c r="A51" s="3" t="s">
        <v>1</v>
      </c>
      <c r="B51" s="4" t="s">
        <v>429</v>
      </c>
    </row>
  </sheetData>
  <dataValidations disablePrompts="1" count="5">
    <dataValidation type="list" allowBlank="1" showInputMessage="1" showErrorMessage="1" sqref="B6" xr:uid="{0098F027-0D62-435D-943B-840C0FCE6594}">
      <formula1>"CWE ≤ ECC, CWE ≥ ECC, CWE ? ECC"</formula1>
    </dataValidation>
    <dataValidation type="list" allowBlank="1" showInputMessage="1" sqref="B7" xr:uid="{85DE5466-BA99-4061-86CD-790648EFCC03}">
      <formula1>"Yes, No, Unknown"</formula1>
    </dataValidation>
    <dataValidation type="list" allowBlank="1" showInputMessage="1" sqref="B8" xr:uid="{927C366B-C136-4FBE-A37D-F3A8AE219742}">
      <formula1>"MILCON, SRM, O&amp;M, Host Nation, Other"</formula1>
    </dataValidation>
    <dataValidation type="list" allowBlank="1" showInputMessage="1" sqref="B9:B10" xr:uid="{8AB52A09-D1DA-4578-83F3-CDEFF9600593}">
      <formula1>"Army, Air Force, Navy, Marines, DPW, DLA, DoDEA"</formula1>
    </dataValidation>
    <dataValidation type="list" allowBlank="1" showInputMessage="1" sqref="B11" xr:uid="{D17AB5CB-B3C9-44C3-8AA1-94EBFD00D4B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F9FD-2C4F-45A8-925B-605F27580145}">
  <sheetPr codeName="Sheet23"/>
  <dimension ref="A1:H43"/>
  <sheetViews>
    <sheetView showGridLines="0" workbookViewId="0">
      <selection activeCell="F27" sqref="F27"/>
    </sheetView>
  </sheetViews>
  <sheetFormatPr defaultRowHeight="12.75" x14ac:dyDescent="0.2"/>
  <cols>
    <col min="1" max="1" width="11.8554687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75" customHeight="1" x14ac:dyDescent="0.2">
      <c r="A3" s="2" t="s">
        <v>4</v>
      </c>
      <c r="B3" s="2" t="s">
        <v>249</v>
      </c>
      <c r="D3" s="29">
        <v>1</v>
      </c>
      <c r="E3" s="30" t="s">
        <v>66</v>
      </c>
      <c r="F3" s="31" t="s">
        <v>250</v>
      </c>
      <c r="G3" s="31"/>
      <c r="H3" s="31"/>
    </row>
    <row r="4" spans="1:8" ht="15.75" customHeight="1" x14ac:dyDescent="0.2">
      <c r="A4" s="2" t="s">
        <v>5</v>
      </c>
      <c r="B4" s="2">
        <v>519571</v>
      </c>
      <c r="D4" s="12">
        <v>2</v>
      </c>
      <c r="E4" s="13" t="s">
        <v>67</v>
      </c>
      <c r="F4" s="14"/>
      <c r="G4" s="14">
        <v>45544</v>
      </c>
      <c r="H4" s="14">
        <v>45548</v>
      </c>
    </row>
    <row r="5" spans="1:8" ht="15.75" customHeight="1" x14ac:dyDescent="0.2">
      <c r="A5" s="2" t="s">
        <v>6</v>
      </c>
      <c r="B5" s="2" t="s">
        <v>271</v>
      </c>
      <c r="D5" s="11">
        <v>3</v>
      </c>
      <c r="E5" s="8" t="s">
        <v>68</v>
      </c>
      <c r="F5" s="9"/>
      <c r="G5" s="9"/>
      <c r="H5" s="9"/>
    </row>
    <row r="6" spans="1:8" ht="15.75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>
        <v>45628</v>
      </c>
      <c r="G6" s="9"/>
      <c r="H6" s="9"/>
    </row>
    <row r="7" spans="1:8" ht="15.75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75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>
        <v>45754</v>
      </c>
      <c r="G8" s="9"/>
      <c r="H8" s="9">
        <v>45810</v>
      </c>
    </row>
    <row r="9" spans="1:8" ht="15.75" customHeight="1" x14ac:dyDescent="0.2">
      <c r="A9" s="2" t="s">
        <v>32</v>
      </c>
      <c r="B9" s="2" t="s">
        <v>103</v>
      </c>
      <c r="D9" s="11">
        <v>7</v>
      </c>
      <c r="E9" s="8" t="s">
        <v>72</v>
      </c>
      <c r="F9" s="9">
        <v>45769</v>
      </c>
      <c r="G9" s="9"/>
      <c r="H9" s="9"/>
    </row>
    <row r="10" spans="1:8" ht="15.75" customHeight="1" x14ac:dyDescent="0.2">
      <c r="A10" s="2" t="s">
        <v>216</v>
      </c>
      <c r="B10" s="2" t="s">
        <v>222</v>
      </c>
      <c r="D10" s="11">
        <v>8</v>
      </c>
      <c r="E10" s="8" t="s">
        <v>73</v>
      </c>
      <c r="F10" s="9">
        <v>45876</v>
      </c>
      <c r="G10" s="9"/>
      <c r="H10" s="9"/>
    </row>
    <row r="11" spans="1:8" ht="15.75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>
        <v>45890</v>
      </c>
      <c r="G11" s="9"/>
      <c r="H11" s="9"/>
    </row>
    <row r="12" spans="1:8" ht="15.75" customHeight="1" x14ac:dyDescent="0.2">
      <c r="A12" s="2" t="s">
        <v>35</v>
      </c>
      <c r="B12" s="2"/>
      <c r="D12" s="11">
        <v>10</v>
      </c>
      <c r="E12" s="8" t="s">
        <v>74</v>
      </c>
      <c r="F12" s="9">
        <v>46003</v>
      </c>
      <c r="G12" s="9"/>
      <c r="H12" s="9"/>
    </row>
    <row r="13" spans="1:8" ht="15.75" customHeight="1" x14ac:dyDescent="0.2">
      <c r="D13" s="11">
        <v>11</v>
      </c>
      <c r="E13" s="8" t="s">
        <v>72</v>
      </c>
      <c r="F13" s="9">
        <v>46028</v>
      </c>
      <c r="G13" s="9"/>
      <c r="H13" s="9"/>
    </row>
    <row r="14" spans="1:8" ht="15.75" customHeight="1" x14ac:dyDescent="0.2">
      <c r="A14" s="1" t="s">
        <v>29</v>
      </c>
      <c r="D14" s="11">
        <v>12</v>
      </c>
      <c r="E14" s="8" t="s">
        <v>75</v>
      </c>
      <c r="F14" s="9">
        <v>46097</v>
      </c>
      <c r="G14" s="9"/>
      <c r="H14" s="9"/>
    </row>
    <row r="15" spans="1:8" ht="15.75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75" customHeight="1" x14ac:dyDescent="0.2">
      <c r="A16" t="s">
        <v>12</v>
      </c>
      <c r="B16" t="s">
        <v>433</v>
      </c>
      <c r="D16" s="11">
        <v>14</v>
      </c>
      <c r="E16" s="8" t="s">
        <v>77</v>
      </c>
      <c r="F16" s="9"/>
      <c r="G16" s="9"/>
      <c r="H16" s="9"/>
    </row>
    <row r="17" spans="1:8" ht="15.75" customHeight="1" x14ac:dyDescent="0.2">
      <c r="A17" t="s">
        <v>13</v>
      </c>
      <c r="B17" t="s">
        <v>370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168</v>
      </c>
    </row>
    <row r="19" spans="1:8" x14ac:dyDescent="0.2">
      <c r="A19" t="s">
        <v>15</v>
      </c>
      <c r="B19" t="s">
        <v>371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106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345</v>
      </c>
    </row>
    <row r="25" spans="1:8" x14ac:dyDescent="0.2">
      <c r="A25" t="s">
        <v>239</v>
      </c>
      <c r="B25" t="s">
        <v>49</v>
      </c>
    </row>
    <row r="26" spans="1:8" x14ac:dyDescent="0.2">
      <c r="A26" t="s">
        <v>237</v>
      </c>
      <c r="B26" t="s">
        <v>345</v>
      </c>
    </row>
    <row r="27" spans="1:8" x14ac:dyDescent="0.2">
      <c r="A27" t="s">
        <v>22</v>
      </c>
      <c r="B27" t="s">
        <v>345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305</v>
      </c>
    </row>
    <row r="31" spans="1:8" x14ac:dyDescent="0.2">
      <c r="A31" t="s">
        <v>30</v>
      </c>
      <c r="B31" t="s">
        <v>369</v>
      </c>
    </row>
    <row r="32" spans="1:8" x14ac:dyDescent="0.2">
      <c r="A32" t="s">
        <v>26</v>
      </c>
      <c r="B32" t="s">
        <v>275</v>
      </c>
    </row>
    <row r="33" spans="1:2" x14ac:dyDescent="0.2">
      <c r="A33" t="s">
        <v>27</v>
      </c>
      <c r="B33" t="s">
        <v>306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/>
      <c r="B38" s="4" t="s">
        <v>307</v>
      </c>
    </row>
    <row r="39" spans="1:2" ht="25.5" x14ac:dyDescent="0.2">
      <c r="A39" s="3"/>
      <c r="B39" s="4" t="s">
        <v>335</v>
      </c>
    </row>
    <row r="40" spans="1:2" x14ac:dyDescent="0.2">
      <c r="A40" s="3"/>
      <c r="B40" s="4" t="s">
        <v>363</v>
      </c>
    </row>
    <row r="41" spans="1:2" x14ac:dyDescent="0.2">
      <c r="A41" s="3"/>
      <c r="B41" s="4" t="s">
        <v>364</v>
      </c>
    </row>
    <row r="42" spans="1:2" x14ac:dyDescent="0.2">
      <c r="A42" s="3"/>
      <c r="B42" s="4" t="s">
        <v>365</v>
      </c>
    </row>
    <row r="43" spans="1:2" ht="38.25" x14ac:dyDescent="0.2">
      <c r="A43" s="3" t="s">
        <v>1</v>
      </c>
      <c r="B43" s="4" t="s">
        <v>373</v>
      </c>
    </row>
  </sheetData>
  <dataValidations disablePrompts="1" count="5">
    <dataValidation type="list" allowBlank="1" showInputMessage="1" showErrorMessage="1" sqref="B6" xr:uid="{BBB92613-CA35-45A0-92EA-AE3405F908AD}">
      <formula1>"CWE ≤ ECC, CWE ≥ ECC, CWE ? ECC"</formula1>
    </dataValidation>
    <dataValidation type="list" allowBlank="1" showInputMessage="1" sqref="B7" xr:uid="{FD2CE7AE-53ED-4E8E-8024-B144E68180A8}">
      <formula1>"Yes, No, Unknown"</formula1>
    </dataValidation>
    <dataValidation type="list" allowBlank="1" showInputMessage="1" sqref="B8" xr:uid="{969CEF24-8BD6-4458-B23F-36F8C018F97B}">
      <formula1>"MILCON, SRM, O&amp;M, Host Nation, Other"</formula1>
    </dataValidation>
    <dataValidation type="list" allowBlank="1" showInputMessage="1" sqref="B9" xr:uid="{D320A657-DB53-4C2A-AA5E-9D381195472B}">
      <formula1>"Army, Air Force, Navy, Marines, DPW, DLA, DoDEA"</formula1>
    </dataValidation>
    <dataValidation type="list" allowBlank="1" showInputMessage="1" sqref="B11" xr:uid="{726D0288-1FA5-4605-8825-11145466975C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DDC5EA-7ACF-4AB5-98DE-65D5F812D312}">
  <sheetPr codeName="Sheet19"/>
  <dimension ref="A1:G51"/>
  <sheetViews>
    <sheetView showGridLines="0" topLeftCell="A34" zoomScaleNormal="100" workbookViewId="0">
      <selection activeCell="B51" sqref="B51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485</v>
      </c>
      <c r="D3" s="26">
        <v>1</v>
      </c>
      <c r="E3" s="27" t="s">
        <v>66</v>
      </c>
      <c r="F3" s="28">
        <v>45604</v>
      </c>
      <c r="G3" s="28"/>
    </row>
    <row r="4" spans="1:7" ht="15.6" customHeight="1" x14ac:dyDescent="0.2">
      <c r="A4" s="2" t="s">
        <v>5</v>
      </c>
      <c r="B4" s="2">
        <v>519172</v>
      </c>
      <c r="D4" s="26">
        <v>2</v>
      </c>
      <c r="E4" s="27" t="s">
        <v>67</v>
      </c>
      <c r="F4" s="28" t="s">
        <v>397</v>
      </c>
      <c r="G4" s="28"/>
    </row>
    <row r="5" spans="1:7" ht="15.6" customHeight="1" x14ac:dyDescent="0.2">
      <c r="A5" s="2" t="s">
        <v>6</v>
      </c>
      <c r="B5" s="2" t="s">
        <v>522</v>
      </c>
      <c r="D5" s="26">
        <v>3</v>
      </c>
      <c r="E5" s="27" t="s">
        <v>68</v>
      </c>
      <c r="F5" s="28">
        <v>45688</v>
      </c>
      <c r="G5" s="28">
        <v>45702</v>
      </c>
    </row>
    <row r="6" spans="1:7" ht="15.6" customHeight="1" x14ac:dyDescent="0.2">
      <c r="A6" s="2" t="s">
        <v>7</v>
      </c>
      <c r="B6" s="2" t="s">
        <v>38</v>
      </c>
      <c r="D6" s="18">
        <v>4</v>
      </c>
      <c r="E6" s="19" t="s">
        <v>478</v>
      </c>
      <c r="F6" s="20">
        <v>45736</v>
      </c>
      <c r="G6" s="20"/>
    </row>
    <row r="7" spans="1:7" ht="15.6" customHeight="1" x14ac:dyDescent="0.2">
      <c r="A7" s="2" t="s">
        <v>8</v>
      </c>
      <c r="B7" s="2" t="s">
        <v>39</v>
      </c>
      <c r="D7" s="11">
        <v>5</v>
      </c>
      <c r="E7" s="8" t="s">
        <v>71</v>
      </c>
      <c r="F7" s="9">
        <v>45719</v>
      </c>
      <c r="G7" s="9">
        <v>45768</v>
      </c>
    </row>
    <row r="8" spans="1:7" ht="15.6" customHeight="1" x14ac:dyDescent="0.2">
      <c r="A8" s="2" t="s">
        <v>33</v>
      </c>
      <c r="B8" s="2" t="s">
        <v>40</v>
      </c>
      <c r="D8" s="11">
        <v>6</v>
      </c>
      <c r="E8" s="8" t="s">
        <v>475</v>
      </c>
      <c r="F8" s="9">
        <v>45793</v>
      </c>
      <c r="G8" s="9">
        <v>45797</v>
      </c>
    </row>
    <row r="9" spans="1:7" ht="15.6" customHeight="1" x14ac:dyDescent="0.2">
      <c r="A9" s="2" t="s">
        <v>32</v>
      </c>
      <c r="B9" s="2" t="s">
        <v>114</v>
      </c>
      <c r="D9" s="11">
        <v>7</v>
      </c>
      <c r="E9" s="8" t="s">
        <v>476</v>
      </c>
      <c r="F9" s="9">
        <v>45828</v>
      </c>
      <c r="G9" s="9"/>
    </row>
    <row r="10" spans="1:7" ht="15.6" customHeight="1" x14ac:dyDescent="0.2">
      <c r="A10" s="2" t="s">
        <v>216</v>
      </c>
      <c r="B10" s="2" t="s">
        <v>217</v>
      </c>
      <c r="D10" s="11"/>
      <c r="E10" s="8"/>
      <c r="F10" s="9"/>
      <c r="G10" s="9"/>
    </row>
    <row r="11" spans="1:7" ht="15.6" customHeight="1" x14ac:dyDescent="0.2">
      <c r="A11" s="2" t="s">
        <v>34</v>
      </c>
      <c r="B11" s="2" t="s">
        <v>41</v>
      </c>
      <c r="D11" s="11"/>
      <c r="E11" s="8"/>
      <c r="F11" s="9"/>
      <c r="G11" s="9"/>
    </row>
    <row r="12" spans="1:7" ht="15.6" customHeight="1" x14ac:dyDescent="0.2">
      <c r="A12" s="2" t="s">
        <v>35</v>
      </c>
      <c r="B12" s="2"/>
      <c r="D12" s="11"/>
      <c r="E12" s="8"/>
      <c r="F12" s="9"/>
      <c r="G12" s="9"/>
    </row>
    <row r="13" spans="1:7" ht="15.6" customHeight="1" x14ac:dyDescent="0.2">
      <c r="A13" s="2" t="s">
        <v>529</v>
      </c>
      <c r="B13" s="2" t="s">
        <v>532</v>
      </c>
      <c r="D13" s="11"/>
      <c r="E13" s="8"/>
      <c r="F13" s="9"/>
      <c r="G13" s="9"/>
    </row>
    <row r="14" spans="1:7" ht="15.6" customHeight="1" x14ac:dyDescent="0.2">
      <c r="D14" s="11"/>
      <c r="E14" s="8"/>
      <c r="F14" s="9"/>
      <c r="G14" s="9"/>
    </row>
    <row r="15" spans="1:7" ht="15.6" customHeight="1" x14ac:dyDescent="0.2">
      <c r="A15" s="1" t="s">
        <v>29</v>
      </c>
      <c r="D15" s="11"/>
      <c r="E15" s="8"/>
      <c r="F15" s="9"/>
      <c r="G15" s="9"/>
    </row>
    <row r="16" spans="1:7" ht="15.6" customHeight="1" x14ac:dyDescent="0.2">
      <c r="A16" t="s">
        <v>11</v>
      </c>
      <c r="B16" t="s">
        <v>28</v>
      </c>
      <c r="D16" s="11"/>
      <c r="E16" s="8"/>
      <c r="F16" s="9"/>
      <c r="G16" s="9"/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148</v>
      </c>
    </row>
    <row r="19" spans="1:2" x14ac:dyDescent="0.2">
      <c r="A19" t="s">
        <v>14</v>
      </c>
      <c r="B19" t="s">
        <v>135</v>
      </c>
    </row>
    <row r="20" spans="1:2" x14ac:dyDescent="0.2">
      <c r="A20" t="s">
        <v>15</v>
      </c>
      <c r="B20" t="s">
        <v>336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51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112</v>
      </c>
    </row>
    <row r="26" spans="1:2" x14ac:dyDescent="0.2">
      <c r="A26" t="s">
        <v>21</v>
      </c>
      <c r="B26" t="s">
        <v>107</v>
      </c>
    </row>
    <row r="27" spans="1:2" x14ac:dyDescent="0.2">
      <c r="A27" t="s">
        <v>237</v>
      </c>
      <c r="B27" t="s">
        <v>112</v>
      </c>
    </row>
    <row r="28" spans="1:2" x14ac:dyDescent="0.2">
      <c r="A28" t="s">
        <v>22</v>
      </c>
      <c r="B28" t="s">
        <v>112</v>
      </c>
    </row>
    <row r="29" spans="1:2" x14ac:dyDescent="0.2">
      <c r="A29" t="s">
        <v>23</v>
      </c>
      <c r="B29" t="s">
        <v>175</v>
      </c>
    </row>
    <row r="30" spans="1:2" x14ac:dyDescent="0.2">
      <c r="A30" t="s">
        <v>24</v>
      </c>
      <c r="B30" t="s">
        <v>176</v>
      </c>
    </row>
    <row r="31" spans="1:2" x14ac:dyDescent="0.2">
      <c r="A31" t="s">
        <v>25</v>
      </c>
      <c r="B31" t="s">
        <v>308</v>
      </c>
    </row>
    <row r="32" spans="1:2" x14ac:dyDescent="0.2">
      <c r="A32" t="s">
        <v>30</v>
      </c>
      <c r="B32" t="s">
        <v>508</v>
      </c>
    </row>
    <row r="33" spans="1:2" x14ac:dyDescent="0.2">
      <c r="A33" t="s">
        <v>26</v>
      </c>
      <c r="B33" t="s">
        <v>463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217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307</v>
      </c>
    </row>
    <row r="40" spans="1:2" ht="25.5" x14ac:dyDescent="0.2">
      <c r="A40" s="3"/>
      <c r="B40" s="4" t="s">
        <v>309</v>
      </c>
    </row>
    <row r="41" spans="1:2" ht="25.5" x14ac:dyDescent="0.2">
      <c r="A41" s="3"/>
      <c r="B41" s="4" t="s">
        <v>430</v>
      </c>
    </row>
    <row r="42" spans="1:2" x14ac:dyDescent="0.2">
      <c r="A42" s="3"/>
      <c r="B42" s="4" t="s">
        <v>388</v>
      </c>
    </row>
    <row r="43" spans="1:2" ht="25.5" x14ac:dyDescent="0.2">
      <c r="A43" s="3"/>
      <c r="B43" s="4" t="s">
        <v>448</v>
      </c>
    </row>
    <row r="44" spans="1:2" x14ac:dyDescent="0.2">
      <c r="A44" s="3"/>
      <c r="B44" s="4" t="s">
        <v>449</v>
      </c>
    </row>
    <row r="45" spans="1:2" ht="25.5" x14ac:dyDescent="0.2">
      <c r="A45" s="3"/>
      <c r="B45" s="4" t="s">
        <v>450</v>
      </c>
    </row>
    <row r="46" spans="1:2" ht="25.5" x14ac:dyDescent="0.2">
      <c r="A46" s="3"/>
      <c r="B46" s="4" t="s">
        <v>477</v>
      </c>
    </row>
    <row r="47" spans="1:2" x14ac:dyDescent="0.2">
      <c r="A47" s="3"/>
      <c r="B47" s="4" t="s">
        <v>518</v>
      </c>
    </row>
    <row r="48" spans="1:2" x14ac:dyDescent="0.2">
      <c r="A48" s="3" t="s">
        <v>1</v>
      </c>
      <c r="B48" s="4" t="s">
        <v>519</v>
      </c>
    </row>
    <row r="49" spans="1:2" ht="51" x14ac:dyDescent="0.2">
      <c r="A49" s="3" t="s">
        <v>1</v>
      </c>
      <c r="B49" s="4" t="s">
        <v>543</v>
      </c>
    </row>
    <row r="50" spans="1:2" ht="38.25" x14ac:dyDescent="0.2">
      <c r="A50" s="3" t="s">
        <v>1</v>
      </c>
      <c r="B50" s="4" t="s">
        <v>558</v>
      </c>
    </row>
    <row r="51" spans="1:2" ht="38.25" x14ac:dyDescent="0.2">
      <c r="A51" s="3" t="s">
        <v>1</v>
      </c>
      <c r="B51" s="4" t="s">
        <v>563</v>
      </c>
    </row>
  </sheetData>
  <dataValidations disablePrompts="1" count="5">
    <dataValidation type="list" allowBlank="1" showInputMessage="1" showErrorMessage="1" sqref="B6" xr:uid="{7F04BB92-C1F9-4289-A146-523F63F09284}">
      <formula1>"CWE ≤ ECC, CWE ≥ ECC, CWE ? ECC"</formula1>
    </dataValidation>
    <dataValidation type="list" allowBlank="1" showInputMessage="1" sqref="B7" xr:uid="{1C24EBC6-E9A4-4B45-B52C-D70967B4769D}">
      <formula1>"Yes, No, Unknown"</formula1>
    </dataValidation>
    <dataValidation type="list" allowBlank="1" showInputMessage="1" sqref="B8" xr:uid="{B085531C-AEA3-4174-B4DE-7485D0225761}">
      <formula1>"MILCON, SRM, O&amp;M, Host Nation, Other"</formula1>
    </dataValidation>
    <dataValidation type="list" allowBlank="1" showInputMessage="1" sqref="B9:B10" xr:uid="{2F0CEB24-75B4-464E-9E0D-7C3C0E51EA84}">
      <formula1>"Army, Air Force, Navy, Marines, DPW, DLA, DoDEA"</formula1>
    </dataValidation>
    <dataValidation type="list" allowBlank="1" showInputMessage="1" sqref="B11" xr:uid="{6A49205A-15F9-40B4-817E-12459DF64601}">
      <formula1>"DBB, DB"</formula1>
    </dataValidation>
  </dataValidations>
  <pageMargins left="0.7" right="0.7" top="0.75" bottom="0.75" header="0.3" footer="0.3"/>
  <pageSetup orientation="portrait" verticalDpi="597" r:id="rId1"/>
  <drawing r:id="rId2"/>
  <tableParts count="4"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BB439-0C1A-4953-9572-09DED13723C5}">
  <sheetPr codeName="Sheet21"/>
  <dimension ref="A1:H39"/>
  <sheetViews>
    <sheetView showGridLines="0" topLeftCell="A13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214</v>
      </c>
      <c r="D3" s="18">
        <v>1</v>
      </c>
      <c r="E3" s="19" t="s">
        <v>66</v>
      </c>
      <c r="F3" s="39" t="s">
        <v>80</v>
      </c>
      <c r="G3" s="20"/>
      <c r="H3" s="20"/>
    </row>
    <row r="4" spans="1:8" ht="15.6" customHeight="1" x14ac:dyDescent="0.2">
      <c r="A4" s="2" t="s">
        <v>5</v>
      </c>
      <c r="B4" s="2">
        <v>519170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21"/>
    </row>
    <row r="9" spans="1:8" ht="15.6" customHeight="1" x14ac:dyDescent="0.2">
      <c r="A9" s="2" t="s">
        <v>32</v>
      </c>
      <c r="B9" s="2" t="s">
        <v>114</v>
      </c>
      <c r="D9" s="11">
        <v>7</v>
      </c>
      <c r="E9" s="8" t="s">
        <v>72</v>
      </c>
      <c r="F9" s="9"/>
      <c r="G9" s="9"/>
      <c r="H9" s="21"/>
    </row>
    <row r="10" spans="1:8" ht="15.6" customHeight="1" x14ac:dyDescent="0.2">
      <c r="A10" s="2" t="s">
        <v>216</v>
      </c>
      <c r="B10" s="2" t="s">
        <v>217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148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135</v>
      </c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112</v>
      </c>
    </row>
    <row r="25" spans="1:8" x14ac:dyDescent="0.2">
      <c r="A25" t="s">
        <v>21</v>
      </c>
      <c r="B25" t="s">
        <v>107</v>
      </c>
    </row>
    <row r="26" spans="1:8" x14ac:dyDescent="0.2">
      <c r="A26" t="s">
        <v>22</v>
      </c>
      <c r="B26" t="s">
        <v>112</v>
      </c>
    </row>
    <row r="27" spans="1:8" x14ac:dyDescent="0.2">
      <c r="A27" t="s">
        <v>23</v>
      </c>
      <c r="B27" t="s">
        <v>175</v>
      </c>
    </row>
    <row r="28" spans="1:8" x14ac:dyDescent="0.2">
      <c r="A28" t="s">
        <v>24</v>
      </c>
      <c r="B28" t="s">
        <v>176</v>
      </c>
    </row>
    <row r="29" spans="1:8" x14ac:dyDescent="0.2">
      <c r="A29" t="s">
        <v>25</v>
      </c>
      <c r="B29" t="s">
        <v>308</v>
      </c>
    </row>
    <row r="30" spans="1:8" x14ac:dyDescent="0.2">
      <c r="A30" t="s">
        <v>30</v>
      </c>
      <c r="B30" t="s">
        <v>317</v>
      </c>
    </row>
    <row r="31" spans="1:8" x14ac:dyDescent="0.2">
      <c r="A31" t="s">
        <v>26</v>
      </c>
      <c r="B31" t="s">
        <v>52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307</v>
      </c>
    </row>
    <row r="37" spans="1:2" ht="25.5" x14ac:dyDescent="0.2">
      <c r="A37" s="3"/>
      <c r="B37" s="4" t="s">
        <v>309</v>
      </c>
    </row>
    <row r="38" spans="1:2" ht="25.5" x14ac:dyDescent="0.2">
      <c r="A38" s="3"/>
      <c r="B38" s="4" t="s">
        <v>337</v>
      </c>
    </row>
    <row r="39" spans="1:2" x14ac:dyDescent="0.2">
      <c r="A39" s="3" t="s">
        <v>1</v>
      </c>
      <c r="B39" s="4" t="s">
        <v>389</v>
      </c>
    </row>
  </sheetData>
  <dataValidations disablePrompts="1" count="5">
    <dataValidation type="list" allowBlank="1" showInputMessage="1" sqref="B11" xr:uid="{823D40B3-4873-4501-9767-6897B88CB8D6}">
      <formula1>"DBB, DB"</formula1>
    </dataValidation>
    <dataValidation type="list" allowBlank="1" showInputMessage="1" sqref="B9:B10" xr:uid="{132D1263-F40D-4B4B-A00A-57F956B8D8A8}">
      <formula1>"Army, Air Force, Navy, Marines, DPW, DLA, DoDEA"</formula1>
    </dataValidation>
    <dataValidation type="list" allowBlank="1" showInputMessage="1" sqref="B8" xr:uid="{92673241-3B32-45FE-BE92-74A6DB5C6666}">
      <formula1>"MILCON, SRM, O&amp;M, Host Nation, Other"</formula1>
    </dataValidation>
    <dataValidation type="list" allowBlank="1" showInputMessage="1" sqref="B7" xr:uid="{1E9FF36B-5471-4BBB-9781-A4E8F0C4696F}">
      <formula1>"Yes, No, Unknown"</formula1>
    </dataValidation>
    <dataValidation type="list" allowBlank="1" showInputMessage="1" showErrorMessage="1" sqref="B6" xr:uid="{D3EE36DA-7417-40CE-80A0-C8D80BD3ECDC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84437-817C-4D41-84CB-4612626EEFB2}">
  <sheetPr codeName="Sheet22"/>
  <dimension ref="A1:H39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215</v>
      </c>
      <c r="D3" s="18">
        <v>1</v>
      </c>
      <c r="E3" s="19" t="s">
        <v>66</v>
      </c>
      <c r="F3" s="39" t="s">
        <v>80</v>
      </c>
      <c r="G3" s="20"/>
      <c r="H3" s="20"/>
    </row>
    <row r="4" spans="1:8" ht="15.6" customHeight="1" x14ac:dyDescent="0.2">
      <c r="A4" s="2" t="s">
        <v>5</v>
      </c>
      <c r="B4" s="2">
        <v>519171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/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69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40</v>
      </c>
      <c r="D8" s="11">
        <v>6</v>
      </c>
      <c r="E8" s="8" t="s">
        <v>71</v>
      </c>
      <c r="F8" s="9"/>
      <c r="G8" s="9"/>
      <c r="H8" s="21"/>
    </row>
    <row r="9" spans="1:8" ht="15.6" customHeight="1" x14ac:dyDescent="0.2">
      <c r="A9" s="2" t="s">
        <v>32</v>
      </c>
      <c r="B9" s="2" t="s">
        <v>114</v>
      </c>
      <c r="D9" s="11">
        <v>7</v>
      </c>
      <c r="E9" s="8" t="s">
        <v>72</v>
      </c>
      <c r="F9" s="9"/>
      <c r="G9" s="9"/>
      <c r="H9" s="21"/>
    </row>
    <row r="10" spans="1:8" ht="15.6" customHeight="1" x14ac:dyDescent="0.2">
      <c r="A10" s="2" t="s">
        <v>216</v>
      </c>
      <c r="B10" s="2" t="s">
        <v>217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9"/>
      <c r="G16" s="9"/>
      <c r="H16" s="9"/>
    </row>
    <row r="17" spans="1:8" ht="15.6" customHeight="1" x14ac:dyDescent="0.2">
      <c r="A17" t="s">
        <v>13</v>
      </c>
      <c r="B17" t="s">
        <v>148</v>
      </c>
      <c r="D17" s="11">
        <v>15</v>
      </c>
      <c r="E17" s="8" t="s">
        <v>78</v>
      </c>
      <c r="F17" s="9"/>
      <c r="G17" s="9"/>
      <c r="H17" s="9"/>
    </row>
    <row r="18" spans="1:8" x14ac:dyDescent="0.2">
      <c r="A18" t="s">
        <v>14</v>
      </c>
      <c r="B18" t="s">
        <v>135</v>
      </c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112</v>
      </c>
    </row>
    <row r="25" spans="1:8" x14ac:dyDescent="0.2">
      <c r="A25" t="s">
        <v>21</v>
      </c>
      <c r="B25" t="s">
        <v>107</v>
      </c>
    </row>
    <row r="26" spans="1:8" x14ac:dyDescent="0.2">
      <c r="A26" t="s">
        <v>22</v>
      </c>
      <c r="B26" t="s">
        <v>112</v>
      </c>
    </row>
    <row r="27" spans="1:8" x14ac:dyDescent="0.2">
      <c r="A27" t="s">
        <v>23</v>
      </c>
      <c r="B27" t="s">
        <v>175</v>
      </c>
    </row>
    <row r="28" spans="1:8" x14ac:dyDescent="0.2">
      <c r="A28" t="s">
        <v>24</v>
      </c>
      <c r="B28" t="s">
        <v>176</v>
      </c>
    </row>
    <row r="29" spans="1:8" x14ac:dyDescent="0.2">
      <c r="A29" t="s">
        <v>25</v>
      </c>
      <c r="B29" t="s">
        <v>308</v>
      </c>
    </row>
    <row r="30" spans="1:8" x14ac:dyDescent="0.2">
      <c r="A30" t="s">
        <v>30</v>
      </c>
      <c r="B30" t="s">
        <v>317</v>
      </c>
    </row>
    <row r="31" spans="1:8" x14ac:dyDescent="0.2">
      <c r="A31" t="s">
        <v>26</v>
      </c>
      <c r="B31" t="s">
        <v>52</v>
      </c>
    </row>
    <row r="32" spans="1:8" x14ac:dyDescent="0.2">
      <c r="A32" t="s">
        <v>27</v>
      </c>
      <c r="B32" t="s">
        <v>48</v>
      </c>
    </row>
    <row r="34" spans="1:2" x14ac:dyDescent="0.2">
      <c r="A34" s="1" t="s">
        <v>31</v>
      </c>
    </row>
    <row r="35" spans="1:2" x14ac:dyDescent="0.2">
      <c r="A35" t="s">
        <v>2</v>
      </c>
      <c r="B35" t="s">
        <v>0</v>
      </c>
    </row>
    <row r="36" spans="1:2" x14ac:dyDescent="0.2">
      <c r="A36" s="3"/>
      <c r="B36" s="4" t="s">
        <v>307</v>
      </c>
    </row>
    <row r="37" spans="1:2" ht="25.5" x14ac:dyDescent="0.2">
      <c r="A37" s="3" t="s">
        <v>1</v>
      </c>
      <c r="B37" s="4" t="s">
        <v>309</v>
      </c>
    </row>
    <row r="38" spans="1:2" ht="25.5" x14ac:dyDescent="0.2">
      <c r="A38" s="3" t="s">
        <v>1</v>
      </c>
      <c r="B38" s="4" t="s">
        <v>337</v>
      </c>
    </row>
    <row r="39" spans="1:2" x14ac:dyDescent="0.2">
      <c r="A39" s="3" t="s">
        <v>1</v>
      </c>
      <c r="B39" s="4" t="s">
        <v>389</v>
      </c>
    </row>
  </sheetData>
  <dataValidations disablePrompts="1" count="5">
    <dataValidation type="list" allowBlank="1" showInputMessage="1" showErrorMessage="1" sqref="B6" xr:uid="{85A0F99A-12CA-422D-8C82-153E6FB21305}">
      <formula1>"CWE ≤ ECC, CWE ≥ ECC, CWE ? ECC"</formula1>
    </dataValidation>
    <dataValidation type="list" allowBlank="1" showInputMessage="1" sqref="B7" xr:uid="{890116BA-993E-44C2-9A76-70AEA5965DE5}">
      <formula1>"Yes, No, Unknown"</formula1>
    </dataValidation>
    <dataValidation type="list" allowBlank="1" showInputMessage="1" sqref="B8" xr:uid="{E2604D10-C34F-46C2-AF7E-FCBA7AD5A01E}">
      <formula1>"MILCON, SRM, O&amp;M, Host Nation, Other"</formula1>
    </dataValidation>
    <dataValidation type="list" allowBlank="1" showInputMessage="1" sqref="B9:B10" xr:uid="{32777A9C-4F20-4660-A047-50270F856361}">
      <formula1>"Army, Air Force, Navy, Marines, DPW, DLA, DoDEA"</formula1>
    </dataValidation>
    <dataValidation type="list" allowBlank="1" showInputMessage="1" sqref="B11" xr:uid="{059BA2AC-C72F-451B-BE6A-3BB5A64474E8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FF9B4-F753-4A6A-B77D-259763000917}">
  <sheetPr codeName="Sheet31"/>
  <dimension ref="A1:H39"/>
  <sheetViews>
    <sheetView showGridLines="0" workbookViewId="0">
      <selection activeCell="B24" sqref="B2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240</v>
      </c>
      <c r="D3" s="11">
        <v>1</v>
      </c>
      <c r="E3" s="8" t="s">
        <v>66</v>
      </c>
      <c r="F3" s="9" t="s">
        <v>80</v>
      </c>
      <c r="G3" s="9"/>
      <c r="H3" s="9"/>
    </row>
    <row r="4" spans="1:8" ht="15.6" customHeight="1" x14ac:dyDescent="0.2">
      <c r="A4" s="2" t="s">
        <v>5</v>
      </c>
      <c r="B4" s="2">
        <v>519810</v>
      </c>
      <c r="D4" s="11">
        <v>2</v>
      </c>
      <c r="E4" s="8" t="s">
        <v>276</v>
      </c>
      <c r="F4" s="9"/>
      <c r="G4" s="9"/>
      <c r="H4" s="9"/>
    </row>
    <row r="5" spans="1:8" ht="15.6" customHeight="1" x14ac:dyDescent="0.2">
      <c r="A5" s="2" t="s">
        <v>6</v>
      </c>
      <c r="B5" s="2" t="s">
        <v>279</v>
      </c>
      <c r="D5" s="11">
        <v>3</v>
      </c>
      <c r="E5" s="8" t="s">
        <v>277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</row>
    <row r="7" spans="1:8" ht="15.6" customHeight="1" x14ac:dyDescent="0.2">
      <c r="A7" s="2" t="s">
        <v>8</v>
      </c>
      <c r="B7" s="2" t="s">
        <v>39</v>
      </c>
    </row>
    <row r="8" spans="1:8" ht="15.6" customHeight="1" x14ac:dyDescent="0.2">
      <c r="A8" s="2" t="s">
        <v>33</v>
      </c>
      <c r="B8" s="2" t="s">
        <v>82</v>
      </c>
    </row>
    <row r="9" spans="1:8" ht="15.6" customHeight="1" x14ac:dyDescent="0.2">
      <c r="A9" s="2" t="s">
        <v>32</v>
      </c>
      <c r="B9" s="2" t="s">
        <v>94</v>
      </c>
    </row>
    <row r="10" spans="1:8" ht="15.6" customHeight="1" x14ac:dyDescent="0.2">
      <c r="A10" s="2" t="s">
        <v>216</v>
      </c>
      <c r="B10" s="2" t="s">
        <v>225</v>
      </c>
    </row>
    <row r="11" spans="1:8" ht="15.6" customHeight="1" x14ac:dyDescent="0.2">
      <c r="A11" s="2" t="s">
        <v>34</v>
      </c>
      <c r="B11" s="2" t="s">
        <v>41</v>
      </c>
    </row>
    <row r="12" spans="1:8" ht="15.6" customHeight="1" x14ac:dyDescent="0.2">
      <c r="A12" s="2" t="s">
        <v>35</v>
      </c>
      <c r="B12" s="2" t="s">
        <v>186</v>
      </c>
    </row>
    <row r="13" spans="1:8" ht="15.6" customHeight="1" x14ac:dyDescent="0.2"/>
    <row r="14" spans="1:8" ht="15.6" customHeight="1" x14ac:dyDescent="0.2">
      <c r="A14" s="1" t="s">
        <v>29</v>
      </c>
    </row>
    <row r="15" spans="1:8" ht="15.6" customHeight="1" x14ac:dyDescent="0.2">
      <c r="A15" t="s">
        <v>11</v>
      </c>
      <c r="B15" t="s">
        <v>28</v>
      </c>
    </row>
    <row r="16" spans="1:8" ht="15.6" customHeight="1" x14ac:dyDescent="0.2">
      <c r="A16" t="s">
        <v>12</v>
      </c>
      <c r="B16" t="s">
        <v>42</v>
      </c>
    </row>
    <row r="17" spans="1:2" ht="15.6" customHeight="1" x14ac:dyDescent="0.2">
      <c r="A17" t="s">
        <v>13</v>
      </c>
      <c r="B17" t="s">
        <v>84</v>
      </c>
    </row>
    <row r="18" spans="1:2" x14ac:dyDescent="0.2">
      <c r="A18" t="s">
        <v>14</v>
      </c>
      <c r="B18" t="s">
        <v>244</v>
      </c>
    </row>
    <row r="19" spans="1:2" x14ac:dyDescent="0.2">
      <c r="A19" t="s">
        <v>15</v>
      </c>
      <c r="B19" t="s">
        <v>80</v>
      </c>
    </row>
    <row r="20" spans="1:2" x14ac:dyDescent="0.2">
      <c r="A20" t="s">
        <v>16</v>
      </c>
      <c r="B20" t="s">
        <v>136</v>
      </c>
    </row>
    <row r="21" spans="1:2" x14ac:dyDescent="0.2">
      <c r="A21" t="s">
        <v>17</v>
      </c>
      <c r="B21" t="s">
        <v>47</v>
      </c>
    </row>
    <row r="22" spans="1:2" x14ac:dyDescent="0.2">
      <c r="A22" t="s">
        <v>18</v>
      </c>
      <c r="B22" t="s">
        <v>48</v>
      </c>
    </row>
    <row r="23" spans="1:2" x14ac:dyDescent="0.2">
      <c r="A23" t="s">
        <v>19</v>
      </c>
      <c r="B23" t="s">
        <v>48</v>
      </c>
    </row>
    <row r="24" spans="1:2" x14ac:dyDescent="0.2">
      <c r="A24" t="s">
        <v>20</v>
      </c>
      <c r="B24" t="s">
        <v>48</v>
      </c>
    </row>
    <row r="25" spans="1:2" x14ac:dyDescent="0.2">
      <c r="A25" t="s">
        <v>239</v>
      </c>
      <c r="B25" t="s">
        <v>178</v>
      </c>
    </row>
    <row r="26" spans="1:2" x14ac:dyDescent="0.2">
      <c r="A26" t="s">
        <v>237</v>
      </c>
      <c r="B26" t="s">
        <v>48</v>
      </c>
    </row>
    <row r="27" spans="1:2" x14ac:dyDescent="0.2">
      <c r="A27" t="s">
        <v>22</v>
      </c>
      <c r="B27" t="s">
        <v>48</v>
      </c>
    </row>
    <row r="28" spans="1:2" x14ac:dyDescent="0.2">
      <c r="A28" t="s">
        <v>23</v>
      </c>
      <c r="B28" t="s">
        <v>175</v>
      </c>
    </row>
    <row r="29" spans="1:2" x14ac:dyDescent="0.2">
      <c r="A29" t="s">
        <v>24</v>
      </c>
      <c r="B29" t="s">
        <v>48</v>
      </c>
    </row>
    <row r="30" spans="1:2" x14ac:dyDescent="0.2">
      <c r="A30" t="s">
        <v>25</v>
      </c>
      <c r="B30" t="s">
        <v>50</v>
      </c>
    </row>
    <row r="31" spans="1:2" x14ac:dyDescent="0.2">
      <c r="A31" t="s">
        <v>30</v>
      </c>
      <c r="B31" t="s">
        <v>80</v>
      </c>
    </row>
    <row r="32" spans="1:2" x14ac:dyDescent="0.2">
      <c r="A32" t="s">
        <v>26</v>
      </c>
      <c r="B32" t="s">
        <v>310</v>
      </c>
    </row>
    <row r="33" spans="1:2" x14ac:dyDescent="0.2">
      <c r="A33" t="s">
        <v>27</v>
      </c>
      <c r="B33" t="s">
        <v>48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x14ac:dyDescent="0.2">
      <c r="A38" s="3"/>
      <c r="B38" s="4" t="s">
        <v>312</v>
      </c>
    </row>
    <row r="39" spans="1:2" x14ac:dyDescent="0.2">
      <c r="A39" s="3" t="s">
        <v>1</v>
      </c>
      <c r="B39" s="4" t="s">
        <v>338</v>
      </c>
    </row>
  </sheetData>
  <dataValidations disablePrompts="1" count="5">
    <dataValidation type="list" allowBlank="1" showInputMessage="1" showErrorMessage="1" sqref="B6" xr:uid="{2DAEEB68-D4D0-4108-B6A8-EF690F157C44}">
      <formula1>"CWE ≤ ECC, CWE ≥ ECC, CWE ? ECC"</formula1>
    </dataValidation>
    <dataValidation type="list" allowBlank="1" showInputMessage="1" sqref="B7" xr:uid="{BA6377CC-BE70-4920-A783-EA3D492766DA}">
      <formula1>"Yes, No, Unknown"</formula1>
    </dataValidation>
    <dataValidation type="list" allowBlank="1" showInputMessage="1" sqref="B8" xr:uid="{9CD130A0-A9BC-46B7-A140-4E3231CAC670}">
      <formula1>"MILCON, SRM, O&amp;M, Host Nation, Other"</formula1>
    </dataValidation>
    <dataValidation type="list" allowBlank="1" showInputMessage="1" sqref="B9" xr:uid="{AE8BE5D3-A29B-4ED4-A3D9-0168D7201F79}">
      <formula1>"Army, Air Force, Navy, Marines, DPW, DLA, DoDEA"</formula1>
    </dataValidation>
    <dataValidation type="list" allowBlank="1" showInputMessage="1" sqref="B11" xr:uid="{46DB0C87-FB19-4DCF-9F6F-EC4B81710709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A74B7-8A6F-486B-8DFD-D09B143EBF17}">
  <sheetPr codeName="Sheet32"/>
  <dimension ref="A1:H39"/>
  <sheetViews>
    <sheetView showGridLines="0" topLeftCell="A13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241</v>
      </c>
      <c r="D3" s="15">
        <v>1</v>
      </c>
      <c r="E3" s="16" t="s">
        <v>66</v>
      </c>
      <c r="F3" s="40" t="s">
        <v>80</v>
      </c>
      <c r="G3" s="17"/>
      <c r="H3" s="17"/>
    </row>
    <row r="4" spans="1:8" ht="15.6" customHeight="1" x14ac:dyDescent="0.2">
      <c r="A4" s="2" t="s">
        <v>5</v>
      </c>
      <c r="B4" s="2">
        <v>519811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280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225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/>
      <c r="G16" s="9"/>
      <c r="H16" s="9"/>
    </row>
    <row r="17" spans="1:8" ht="15.6" customHeight="1" x14ac:dyDescent="0.2">
      <c r="A17" t="s">
        <v>13</v>
      </c>
      <c r="B17" t="s">
        <v>347</v>
      </c>
      <c r="D17" s="11">
        <v>15</v>
      </c>
      <c r="E17" s="8" t="s">
        <v>78</v>
      </c>
      <c r="F17" s="21"/>
      <c r="G17" s="9"/>
      <c r="H17" s="9"/>
    </row>
    <row r="18" spans="1:8" ht="13.5" x14ac:dyDescent="0.2">
      <c r="A18" t="s">
        <v>14</v>
      </c>
      <c r="B18" t="s">
        <v>255</v>
      </c>
      <c r="D18" s="11">
        <v>16</v>
      </c>
      <c r="E18" s="8" t="s">
        <v>91</v>
      </c>
      <c r="F18" s="21"/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311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239</v>
      </c>
      <c r="B25" t="s">
        <v>178</v>
      </c>
    </row>
    <row r="26" spans="1:8" x14ac:dyDescent="0.2">
      <c r="A26" t="s">
        <v>237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193</v>
      </c>
    </row>
    <row r="33" spans="1:2" x14ac:dyDescent="0.2">
      <c r="A33" t="s">
        <v>27</v>
      </c>
      <c r="B33" t="s">
        <v>48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339</v>
      </c>
    </row>
    <row r="39" spans="1:2" ht="25.5" x14ac:dyDescent="0.2">
      <c r="A39" s="3" t="s">
        <v>1</v>
      </c>
      <c r="B39" s="4" t="s">
        <v>346</v>
      </c>
    </row>
  </sheetData>
  <dataValidations count="5">
    <dataValidation type="list" allowBlank="1" showInputMessage="1" sqref="B11" xr:uid="{2C83166D-20FB-474E-B6AC-85A2C4897E70}">
      <formula1>"DBB, DB"</formula1>
    </dataValidation>
    <dataValidation type="list" allowBlank="1" showInputMessage="1" sqref="B9" xr:uid="{EE32938F-0EB0-4E23-9CF7-9013DC081925}">
      <formula1>"Army, Air Force, Navy, Marines, DPW, DLA, DoDEA"</formula1>
    </dataValidation>
    <dataValidation type="list" allowBlank="1" showInputMessage="1" sqref="B8" xr:uid="{72406623-189F-40C6-B91C-C892B0A85083}">
      <formula1>"MILCON, SRM, O&amp;M, Host Nation, Other"</formula1>
    </dataValidation>
    <dataValidation type="list" allowBlank="1" showInputMessage="1" sqref="B7" xr:uid="{CFD4B8BE-9616-4E68-ACE4-70906C55ECC8}">
      <formula1>"Yes, No, Unknown"</formula1>
    </dataValidation>
    <dataValidation type="list" allowBlank="1" showInputMessage="1" showErrorMessage="1" sqref="B6" xr:uid="{7391F6E8-C538-4A1C-8A70-1467CD9B18A9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E96B7-58D6-4D30-BE06-A94FD92CEA13}">
  <sheetPr codeName="Sheet33"/>
  <dimension ref="A1:H39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242</v>
      </c>
      <c r="D3" s="15">
        <v>1</v>
      </c>
      <c r="E3" s="16" t="s">
        <v>66</v>
      </c>
      <c r="F3" s="40" t="s">
        <v>80</v>
      </c>
      <c r="G3" s="17"/>
      <c r="H3" s="17"/>
    </row>
    <row r="4" spans="1:8" ht="15.6" customHeight="1" x14ac:dyDescent="0.2">
      <c r="A4" s="2" t="s">
        <v>5</v>
      </c>
      <c r="B4" s="2">
        <v>519812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282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225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 t="s">
        <v>258</v>
      </c>
      <c r="G16" s="9"/>
      <c r="H16" s="9"/>
    </row>
    <row r="17" spans="1:8" ht="15.6" customHeight="1" x14ac:dyDescent="0.2">
      <c r="A17" t="s">
        <v>13</v>
      </c>
      <c r="B17" t="s">
        <v>84</v>
      </c>
      <c r="D17" s="11">
        <v>15</v>
      </c>
      <c r="E17" s="8" t="s">
        <v>78</v>
      </c>
      <c r="F17" s="21" t="s">
        <v>259</v>
      </c>
      <c r="G17" s="9"/>
      <c r="H17" s="9"/>
    </row>
    <row r="18" spans="1:8" ht="13.5" x14ac:dyDescent="0.2">
      <c r="A18" t="s">
        <v>14</v>
      </c>
      <c r="B18" t="s">
        <v>80</v>
      </c>
      <c r="D18" s="11">
        <v>16</v>
      </c>
      <c r="E18" s="8" t="s">
        <v>91</v>
      </c>
      <c r="F18" s="21" t="s">
        <v>281</v>
      </c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101</v>
      </c>
    </row>
    <row r="22" spans="1:8" x14ac:dyDescent="0.2">
      <c r="A22" t="s">
        <v>18</v>
      </c>
      <c r="B22" t="s">
        <v>51</v>
      </c>
    </row>
    <row r="23" spans="1:8" x14ac:dyDescent="0.2">
      <c r="A23" t="s">
        <v>19</v>
      </c>
      <c r="B23" t="s">
        <v>86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239</v>
      </c>
      <c r="B25" t="s">
        <v>270</v>
      </c>
    </row>
    <row r="26" spans="1:8" x14ac:dyDescent="0.2">
      <c r="A26" t="s">
        <v>237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275</v>
      </c>
    </row>
    <row r="33" spans="1:2" x14ac:dyDescent="0.2">
      <c r="A33" t="s">
        <v>27</v>
      </c>
      <c r="B33" t="s">
        <v>80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/>
      <c r="B38" s="4" t="s">
        <v>339</v>
      </c>
    </row>
    <row r="39" spans="1:2" x14ac:dyDescent="0.2">
      <c r="A39" s="3" t="s">
        <v>1</v>
      </c>
      <c r="B39" s="4" t="s">
        <v>390</v>
      </c>
    </row>
  </sheetData>
  <dataValidations count="5">
    <dataValidation type="list" allowBlank="1" showInputMessage="1" showErrorMessage="1" sqref="B6" xr:uid="{09163EBA-D378-43E6-BD9F-237C3971F55D}">
      <formula1>"CWE ≤ ECC, CWE ≥ ECC, CWE ? ECC"</formula1>
    </dataValidation>
    <dataValidation type="list" allowBlank="1" showInputMessage="1" sqref="B7" xr:uid="{1BAE6FCA-1218-4B66-9696-16BD61EABDD2}">
      <formula1>"Yes, No, Unknown"</formula1>
    </dataValidation>
    <dataValidation type="list" allowBlank="1" showInputMessage="1" sqref="B8" xr:uid="{C4D9893E-3DBF-4E59-BFC3-4CEA7C8505B8}">
      <formula1>"MILCON, SRM, O&amp;M, Host Nation, Other"</formula1>
    </dataValidation>
    <dataValidation type="list" allowBlank="1" showInputMessage="1" sqref="B9" xr:uid="{CD1C24AD-4463-462D-9B5E-B604067D3E2A}">
      <formula1>"Army, Air Force, Navy, Marines, DPW, DLA, DoDEA"</formula1>
    </dataValidation>
    <dataValidation type="list" allowBlank="1" showInputMessage="1" sqref="B11" xr:uid="{C8E711EB-C6FA-4628-8F31-A5C61FBA1440}">
      <formula1>"DBB, DB"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01516-C1C3-4DD3-9264-96DAF6E759FC}">
  <sheetPr codeName="Sheet34"/>
  <dimension ref="A1:H38"/>
  <sheetViews>
    <sheetView showGridLines="0" workbookViewId="0">
      <selection activeCell="B13" sqref="B1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245</v>
      </c>
      <c r="D3" s="15">
        <v>1</v>
      </c>
      <c r="E3" s="16" t="s">
        <v>66</v>
      </c>
      <c r="F3" s="40" t="s">
        <v>80</v>
      </c>
      <c r="G3" s="17"/>
      <c r="H3" s="17"/>
    </row>
    <row r="4" spans="1:8" ht="15.6" customHeight="1" x14ac:dyDescent="0.2">
      <c r="A4" s="2" t="s">
        <v>5</v>
      </c>
      <c r="B4" s="2">
        <v>519777</v>
      </c>
      <c r="D4" s="11">
        <v>2</v>
      </c>
      <c r="E4" s="8" t="s">
        <v>67</v>
      </c>
      <c r="F4" s="9"/>
      <c r="G4" s="9"/>
      <c r="H4" s="9"/>
    </row>
    <row r="5" spans="1:8" ht="15.6" customHeight="1" x14ac:dyDescent="0.2">
      <c r="A5" s="2" t="s">
        <v>6</v>
      </c>
      <c r="B5" s="2" t="s">
        <v>97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110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82</v>
      </c>
      <c r="D8" s="11">
        <v>6</v>
      </c>
      <c r="E8" s="8" t="s">
        <v>71</v>
      </c>
      <c r="F8" s="9"/>
      <c r="G8" s="9"/>
      <c r="H8" s="9"/>
    </row>
    <row r="9" spans="1:8" ht="15.6" customHeight="1" x14ac:dyDescent="0.2">
      <c r="A9" s="2" t="s">
        <v>32</v>
      </c>
      <c r="B9" s="2" t="s">
        <v>94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225</v>
      </c>
      <c r="D10" s="11">
        <v>8</v>
      </c>
      <c r="E10" s="8" t="s">
        <v>73</v>
      </c>
      <c r="F10" s="9"/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 t="s">
        <v>186</v>
      </c>
      <c r="D12" s="11">
        <v>10</v>
      </c>
      <c r="E12" s="8" t="s">
        <v>74</v>
      </c>
      <c r="F12" s="9"/>
      <c r="G12" s="9"/>
      <c r="H12" s="9"/>
    </row>
    <row r="13" spans="1:8" ht="15.6" customHeight="1" x14ac:dyDescent="0.2"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A14" s="1" t="s">
        <v>29</v>
      </c>
      <c r="D14" s="11">
        <v>12</v>
      </c>
      <c r="E14" s="8" t="s">
        <v>75</v>
      </c>
      <c r="F14" s="9"/>
      <c r="G14" s="9"/>
      <c r="H14" s="9"/>
    </row>
    <row r="15" spans="1:8" ht="15.6" customHeight="1" x14ac:dyDescent="0.2">
      <c r="A15" t="s">
        <v>11</v>
      </c>
      <c r="B15" t="s">
        <v>28</v>
      </c>
      <c r="D15" s="11">
        <v>13</v>
      </c>
      <c r="E15" s="8" t="s">
        <v>76</v>
      </c>
      <c r="F15" s="9"/>
      <c r="G15" s="9"/>
      <c r="H15" s="9"/>
    </row>
    <row r="16" spans="1:8" ht="15.6" customHeight="1" x14ac:dyDescent="0.2">
      <c r="A16" t="s">
        <v>12</v>
      </c>
      <c r="B16" t="s">
        <v>42</v>
      </c>
      <c r="D16" s="11">
        <v>14</v>
      </c>
      <c r="E16" s="8" t="s">
        <v>77</v>
      </c>
      <c r="F16" s="21" t="s">
        <v>258</v>
      </c>
      <c r="G16" s="9"/>
      <c r="H16" s="9"/>
    </row>
    <row r="17" spans="1:8" ht="15.6" customHeight="1" x14ac:dyDescent="0.2">
      <c r="A17" t="s">
        <v>13</v>
      </c>
      <c r="B17" t="s">
        <v>84</v>
      </c>
      <c r="D17" s="11">
        <v>15</v>
      </c>
      <c r="E17" s="8" t="s">
        <v>78</v>
      </c>
      <c r="F17" s="21" t="s">
        <v>259</v>
      </c>
      <c r="G17" s="9"/>
      <c r="H17" s="9"/>
    </row>
    <row r="18" spans="1:8" ht="13.5" x14ac:dyDescent="0.2">
      <c r="A18" t="s">
        <v>14</v>
      </c>
      <c r="B18" t="s">
        <v>80</v>
      </c>
      <c r="D18" s="11">
        <v>16</v>
      </c>
      <c r="E18" s="8" t="s">
        <v>91</v>
      </c>
      <c r="F18" s="21" t="s">
        <v>281</v>
      </c>
      <c r="G18" s="9"/>
      <c r="H18" s="9"/>
    </row>
    <row r="19" spans="1:8" x14ac:dyDescent="0.2">
      <c r="A19" t="s">
        <v>15</v>
      </c>
      <c r="B19" t="s">
        <v>80</v>
      </c>
    </row>
    <row r="20" spans="1:8" x14ac:dyDescent="0.2">
      <c r="A20" t="s">
        <v>16</v>
      </c>
      <c r="B20" t="s">
        <v>136</v>
      </c>
    </row>
    <row r="21" spans="1:8" x14ac:dyDescent="0.2">
      <c r="A21" t="s">
        <v>17</v>
      </c>
      <c r="B21" t="s">
        <v>47</v>
      </c>
    </row>
    <row r="22" spans="1:8" x14ac:dyDescent="0.2">
      <c r="A22" t="s">
        <v>18</v>
      </c>
      <c r="B22" t="s">
        <v>80</v>
      </c>
    </row>
    <row r="23" spans="1:8" x14ac:dyDescent="0.2">
      <c r="A23" t="s">
        <v>19</v>
      </c>
      <c r="B23" t="s">
        <v>111</v>
      </c>
    </row>
    <row r="24" spans="1:8" x14ac:dyDescent="0.2">
      <c r="A24" t="s">
        <v>20</v>
      </c>
      <c r="B24" t="s">
        <v>80</v>
      </c>
    </row>
    <row r="25" spans="1:8" x14ac:dyDescent="0.2">
      <c r="A25" t="s">
        <v>239</v>
      </c>
      <c r="B25" t="s">
        <v>49</v>
      </c>
    </row>
    <row r="26" spans="1:8" x14ac:dyDescent="0.2">
      <c r="A26" t="s">
        <v>237</v>
      </c>
      <c r="B26" t="s">
        <v>80</v>
      </c>
    </row>
    <row r="27" spans="1:8" x14ac:dyDescent="0.2">
      <c r="A27" t="s">
        <v>22</v>
      </c>
      <c r="B27" t="s">
        <v>80</v>
      </c>
    </row>
    <row r="28" spans="1:8" x14ac:dyDescent="0.2">
      <c r="A28" t="s">
        <v>23</v>
      </c>
      <c r="B28" t="s">
        <v>175</v>
      </c>
    </row>
    <row r="29" spans="1:8" x14ac:dyDescent="0.2">
      <c r="A29" t="s">
        <v>24</v>
      </c>
      <c r="B29" t="s">
        <v>176</v>
      </c>
    </row>
    <row r="30" spans="1:8" x14ac:dyDescent="0.2">
      <c r="A30" t="s">
        <v>25</v>
      </c>
      <c r="B30" t="s">
        <v>50</v>
      </c>
    </row>
    <row r="31" spans="1:8" x14ac:dyDescent="0.2">
      <c r="A31" t="s">
        <v>30</v>
      </c>
      <c r="B31" t="s">
        <v>80</v>
      </c>
    </row>
    <row r="32" spans="1:8" x14ac:dyDescent="0.2">
      <c r="A32" t="s">
        <v>26</v>
      </c>
      <c r="B32" t="s">
        <v>275</v>
      </c>
    </row>
    <row r="33" spans="1:2" x14ac:dyDescent="0.2">
      <c r="A33" t="s">
        <v>27</v>
      </c>
      <c r="B33" t="s">
        <v>80</v>
      </c>
    </row>
    <row r="34" spans="1:2" x14ac:dyDescent="0.2">
      <c r="A34" t="s">
        <v>238</v>
      </c>
      <c r="B34" t="s">
        <v>80</v>
      </c>
    </row>
    <row r="36" spans="1:2" x14ac:dyDescent="0.2">
      <c r="A36" s="1" t="s">
        <v>31</v>
      </c>
    </row>
    <row r="37" spans="1:2" x14ac:dyDescent="0.2">
      <c r="A37" t="s">
        <v>2</v>
      </c>
      <c r="B37" t="s">
        <v>0</v>
      </c>
    </row>
    <row r="38" spans="1:2" ht="25.5" x14ac:dyDescent="0.2">
      <c r="A38" s="3" t="s">
        <v>1</v>
      </c>
      <c r="B38" s="4" t="s">
        <v>339</v>
      </c>
    </row>
  </sheetData>
  <dataValidations disablePrompts="1" count="5">
    <dataValidation type="list" allowBlank="1" showInputMessage="1" sqref="B11" xr:uid="{7A09DBC9-4631-47FC-B2F2-5534E0E03594}">
      <formula1>"DBB, DB"</formula1>
    </dataValidation>
    <dataValidation type="list" allowBlank="1" showInputMessage="1" sqref="B9" xr:uid="{36609189-514D-44E0-B35C-DA3A942FAFFF}">
      <formula1>"Army, Air Force, Navy, Marines, DPW, DLA, DoDEA"</formula1>
    </dataValidation>
    <dataValidation type="list" allowBlank="1" showInputMessage="1" sqref="B8" xr:uid="{CFB7686B-42D9-4C83-BD9A-2C5E27DD0B99}">
      <formula1>"MILCON, SRM, O&amp;M, Host Nation, Other"</formula1>
    </dataValidation>
    <dataValidation type="list" allowBlank="1" showInputMessage="1" sqref="B7" xr:uid="{D10EABFF-10D3-49FE-B34E-F0DD20CB30FF}">
      <formula1>"Yes, No, Unknown"</formula1>
    </dataValidation>
    <dataValidation type="list" allowBlank="1" showInputMessage="1" showErrorMessage="1" sqref="B6" xr:uid="{94112A75-63E8-4828-9970-43D238DC94AF}">
      <formula1>"CWE ≤ ECC, CWE ≥ ECC, CWE ? ECC"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54501-89A4-4AC8-A7A2-338D9D9ECB3F}">
  <sheetPr codeName="Sheet35"/>
  <dimension ref="A1:H49"/>
  <sheetViews>
    <sheetView showGridLines="0" topLeftCell="A5" workbookViewId="0">
      <selection activeCell="B33" sqref="B33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6" width="12.7109375" style="6" customWidth="1"/>
    <col min="7" max="8" width="10.7109375" style="6" customWidth="1"/>
  </cols>
  <sheetData>
    <row r="1" spans="1:8" x14ac:dyDescent="0.2">
      <c r="A1" s="1" t="s">
        <v>10</v>
      </c>
      <c r="D1" s="1" t="s">
        <v>79</v>
      </c>
    </row>
    <row r="2" spans="1:8" ht="27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63</v>
      </c>
      <c r="G2" s="7" t="s">
        <v>64</v>
      </c>
      <c r="H2" s="7" t="s">
        <v>65</v>
      </c>
    </row>
    <row r="3" spans="1:8" ht="15.6" customHeight="1" x14ac:dyDescent="0.2">
      <c r="A3" s="2" t="s">
        <v>4</v>
      </c>
      <c r="B3" s="2" t="s">
        <v>486</v>
      </c>
      <c r="D3" s="26">
        <v>1</v>
      </c>
      <c r="E3" s="27" t="s">
        <v>66</v>
      </c>
      <c r="F3" s="28">
        <v>45559</v>
      </c>
      <c r="G3" s="28"/>
      <c r="H3" s="28"/>
    </row>
    <row r="4" spans="1:8" ht="15.6" customHeight="1" x14ac:dyDescent="0.2">
      <c r="A4" s="2" t="s">
        <v>5</v>
      </c>
      <c r="B4" s="2">
        <v>519670</v>
      </c>
      <c r="D4" s="18">
        <v>2</v>
      </c>
      <c r="E4" s="19" t="s">
        <v>67</v>
      </c>
      <c r="F4" s="20"/>
      <c r="G4" s="20">
        <v>45580</v>
      </c>
      <c r="H4" s="20">
        <v>45582</v>
      </c>
    </row>
    <row r="5" spans="1:8" ht="15.6" customHeight="1" x14ac:dyDescent="0.2">
      <c r="A5" s="2" t="s">
        <v>6</v>
      </c>
      <c r="B5" s="2" t="s">
        <v>521</v>
      </c>
      <c r="D5" s="11">
        <v>3</v>
      </c>
      <c r="E5" s="8" t="s">
        <v>68</v>
      </c>
      <c r="F5" s="9"/>
      <c r="G5" s="9"/>
      <c r="H5" s="9"/>
    </row>
    <row r="6" spans="1:8" ht="15.6" customHeight="1" x14ac:dyDescent="0.2">
      <c r="A6" s="2" t="s">
        <v>7</v>
      </c>
      <c r="B6" s="2" t="s">
        <v>108</v>
      </c>
      <c r="D6" s="11">
        <v>4</v>
      </c>
      <c r="E6" s="8" t="s">
        <v>243</v>
      </c>
      <c r="F6" s="9"/>
      <c r="G6" s="9"/>
      <c r="H6" s="9"/>
    </row>
    <row r="7" spans="1:8" ht="15.6" customHeight="1" x14ac:dyDescent="0.2">
      <c r="A7" s="2" t="s">
        <v>8</v>
      </c>
      <c r="B7" s="2" t="s">
        <v>39</v>
      </c>
      <c r="D7" s="11">
        <v>5</v>
      </c>
      <c r="E7" s="8" t="s">
        <v>70</v>
      </c>
      <c r="F7" s="9"/>
      <c r="G7" s="9"/>
      <c r="H7" s="9"/>
    </row>
    <row r="8" spans="1:8" ht="15.6" customHeight="1" x14ac:dyDescent="0.2">
      <c r="A8" s="2" t="s">
        <v>33</v>
      </c>
      <c r="B8" s="2" t="s">
        <v>283</v>
      </c>
      <c r="D8" s="11">
        <v>6</v>
      </c>
      <c r="E8" s="8" t="s">
        <v>71</v>
      </c>
      <c r="F8" s="21" t="s">
        <v>454</v>
      </c>
      <c r="G8" s="9"/>
      <c r="H8" s="9"/>
    </row>
    <row r="9" spans="1:8" ht="15.6" customHeight="1" x14ac:dyDescent="0.2">
      <c r="A9" s="2" t="s">
        <v>32</v>
      </c>
      <c r="B9" s="2" t="s">
        <v>114</v>
      </c>
      <c r="D9" s="11">
        <v>7</v>
      </c>
      <c r="E9" s="8" t="s">
        <v>72</v>
      </c>
      <c r="F9" s="9"/>
      <c r="G9" s="9"/>
      <c r="H9" s="9"/>
    </row>
    <row r="10" spans="1:8" ht="15.6" customHeight="1" x14ac:dyDescent="0.2">
      <c r="A10" s="2" t="s">
        <v>216</v>
      </c>
      <c r="B10" s="2" t="s">
        <v>143</v>
      </c>
      <c r="D10" s="11">
        <v>8</v>
      </c>
      <c r="E10" s="8" t="s">
        <v>73</v>
      </c>
      <c r="F10" s="21" t="s">
        <v>455</v>
      </c>
      <c r="G10" s="9"/>
      <c r="H10" s="9"/>
    </row>
    <row r="11" spans="1:8" ht="15.6" customHeight="1" x14ac:dyDescent="0.2">
      <c r="A11" s="2" t="s">
        <v>34</v>
      </c>
      <c r="B11" s="2" t="s">
        <v>41</v>
      </c>
      <c r="D11" s="11">
        <v>9</v>
      </c>
      <c r="E11" s="8" t="s">
        <v>72</v>
      </c>
      <c r="F11" s="9"/>
      <c r="G11" s="9"/>
      <c r="H11" s="9"/>
    </row>
    <row r="12" spans="1:8" ht="15.6" customHeight="1" x14ac:dyDescent="0.2">
      <c r="A12" s="2" t="s">
        <v>35</v>
      </c>
      <c r="B12" s="2"/>
      <c r="D12" s="11">
        <v>10</v>
      </c>
      <c r="E12" s="8" t="s">
        <v>74</v>
      </c>
      <c r="F12" s="21" t="s">
        <v>456</v>
      </c>
      <c r="G12" s="9"/>
      <c r="H12" s="9"/>
    </row>
    <row r="13" spans="1:8" ht="15.6" customHeight="1" x14ac:dyDescent="0.2">
      <c r="A13" s="2" t="s">
        <v>529</v>
      </c>
      <c r="B13" s="2" t="s">
        <v>541</v>
      </c>
      <c r="D13" s="11">
        <v>11</v>
      </c>
      <c r="E13" s="8" t="s">
        <v>72</v>
      </c>
      <c r="F13" s="9"/>
      <c r="G13" s="9"/>
      <c r="H13" s="9"/>
    </row>
    <row r="14" spans="1:8" ht="15.6" customHeight="1" x14ac:dyDescent="0.2">
      <c r="D14" s="11">
        <v>12</v>
      </c>
      <c r="E14" s="8" t="s">
        <v>75</v>
      </c>
      <c r="F14" s="9" t="s">
        <v>80</v>
      </c>
      <c r="G14" s="9"/>
      <c r="H14" s="9"/>
    </row>
    <row r="15" spans="1:8" ht="15.6" customHeight="1" x14ac:dyDescent="0.2">
      <c r="A15" s="1" t="s">
        <v>29</v>
      </c>
      <c r="D15" s="11">
        <v>13</v>
      </c>
      <c r="E15" s="8" t="s">
        <v>76</v>
      </c>
      <c r="F15" s="9" t="s">
        <v>80</v>
      </c>
      <c r="G15" s="9"/>
      <c r="H15" s="9"/>
    </row>
    <row r="16" spans="1:8" ht="15.6" customHeight="1" x14ac:dyDescent="0.2">
      <c r="A16" t="s">
        <v>11</v>
      </c>
      <c r="B16" t="s">
        <v>28</v>
      </c>
      <c r="D16" s="11">
        <v>14</v>
      </c>
      <c r="E16" s="8" t="s">
        <v>77</v>
      </c>
      <c r="F16" s="21" t="s">
        <v>451</v>
      </c>
      <c r="G16" s="9"/>
      <c r="H16" s="9"/>
    </row>
    <row r="17" spans="1:8" ht="15.6" customHeight="1" x14ac:dyDescent="0.2">
      <c r="A17" t="s">
        <v>12</v>
      </c>
      <c r="B17" t="s">
        <v>42</v>
      </c>
      <c r="D17" s="11">
        <v>15</v>
      </c>
      <c r="E17" s="8" t="s">
        <v>78</v>
      </c>
      <c r="F17" s="21" t="s">
        <v>452</v>
      </c>
      <c r="G17" s="9"/>
      <c r="H17" s="9"/>
    </row>
    <row r="18" spans="1:8" ht="15.6" customHeight="1" x14ac:dyDescent="0.2">
      <c r="A18" t="s">
        <v>13</v>
      </c>
      <c r="B18" t="s">
        <v>95</v>
      </c>
      <c r="D18" s="11">
        <v>16</v>
      </c>
      <c r="E18" s="8" t="s">
        <v>91</v>
      </c>
      <c r="F18" s="21" t="s">
        <v>453</v>
      </c>
      <c r="G18" s="9"/>
      <c r="H18" s="9"/>
    </row>
    <row r="19" spans="1:8" x14ac:dyDescent="0.2">
      <c r="A19" t="s">
        <v>14</v>
      </c>
      <c r="B19" t="s">
        <v>255</v>
      </c>
    </row>
    <row r="20" spans="1:8" x14ac:dyDescent="0.2">
      <c r="A20" t="s">
        <v>15</v>
      </c>
      <c r="B20" t="s">
        <v>392</v>
      </c>
    </row>
    <row r="21" spans="1:8" x14ac:dyDescent="0.2">
      <c r="A21" t="s">
        <v>16</v>
      </c>
      <c r="B21" t="s">
        <v>321</v>
      </c>
    </row>
    <row r="22" spans="1:8" x14ac:dyDescent="0.2">
      <c r="A22" t="s">
        <v>17</v>
      </c>
      <c r="B22" t="s">
        <v>47</v>
      </c>
    </row>
    <row r="23" spans="1:8" x14ac:dyDescent="0.2">
      <c r="A23" t="s">
        <v>18</v>
      </c>
      <c r="B23" t="s">
        <v>51</v>
      </c>
    </row>
    <row r="24" spans="1:8" x14ac:dyDescent="0.2">
      <c r="A24" t="s">
        <v>19</v>
      </c>
      <c r="B24" t="s">
        <v>111</v>
      </c>
    </row>
    <row r="25" spans="1:8" x14ac:dyDescent="0.2">
      <c r="A25" t="s">
        <v>20</v>
      </c>
      <c r="B25" t="s">
        <v>112</v>
      </c>
    </row>
    <row r="26" spans="1:8" x14ac:dyDescent="0.2">
      <c r="A26" t="s">
        <v>239</v>
      </c>
      <c r="B26" t="s">
        <v>80</v>
      </c>
    </row>
    <row r="27" spans="1:8" x14ac:dyDescent="0.2">
      <c r="A27" t="s">
        <v>237</v>
      </c>
      <c r="B27" t="s">
        <v>112</v>
      </c>
    </row>
    <row r="28" spans="1:8" x14ac:dyDescent="0.2">
      <c r="A28" t="s">
        <v>22</v>
      </c>
      <c r="B28" t="s">
        <v>112</v>
      </c>
    </row>
    <row r="29" spans="1:8" x14ac:dyDescent="0.2">
      <c r="A29" t="s">
        <v>23</v>
      </c>
      <c r="B29" t="s">
        <v>175</v>
      </c>
    </row>
    <row r="30" spans="1:8" x14ac:dyDescent="0.2">
      <c r="A30" t="s">
        <v>24</v>
      </c>
      <c r="B30" t="s">
        <v>176</v>
      </c>
    </row>
    <row r="31" spans="1:8" x14ac:dyDescent="0.2">
      <c r="A31" t="s">
        <v>25</v>
      </c>
      <c r="B31" t="s">
        <v>308</v>
      </c>
    </row>
    <row r="32" spans="1:8" x14ac:dyDescent="0.2">
      <c r="A32" t="s">
        <v>30</v>
      </c>
      <c r="B32" t="s">
        <v>48</v>
      </c>
    </row>
    <row r="33" spans="1:2" x14ac:dyDescent="0.2">
      <c r="A33" t="s">
        <v>26</v>
      </c>
      <c r="B33" t="s">
        <v>193</v>
      </c>
    </row>
    <row r="34" spans="1:2" x14ac:dyDescent="0.2">
      <c r="A34" t="s">
        <v>27</v>
      </c>
      <c r="B34" t="s">
        <v>48</v>
      </c>
    </row>
    <row r="35" spans="1:2" x14ac:dyDescent="0.2">
      <c r="A35" t="s">
        <v>238</v>
      </c>
      <c r="B35" t="s">
        <v>511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ht="25.5" x14ac:dyDescent="0.2">
      <c r="A39" s="3"/>
      <c r="B39" s="4" t="s">
        <v>256</v>
      </c>
    </row>
    <row r="40" spans="1:2" ht="38.25" x14ac:dyDescent="0.2">
      <c r="A40" s="3"/>
      <c r="B40" s="4" t="s">
        <v>257</v>
      </c>
    </row>
    <row r="41" spans="1:2" x14ac:dyDescent="0.2">
      <c r="A41" s="3"/>
      <c r="B41" s="4" t="s">
        <v>278</v>
      </c>
    </row>
    <row r="42" spans="1:2" x14ac:dyDescent="0.2">
      <c r="A42" s="3"/>
      <c r="B42" s="4" t="s">
        <v>307</v>
      </c>
    </row>
    <row r="43" spans="1:2" ht="25.5" x14ac:dyDescent="0.2">
      <c r="A43" s="3"/>
      <c r="B43" s="4" t="s">
        <v>320</v>
      </c>
    </row>
    <row r="44" spans="1:2" x14ac:dyDescent="0.2">
      <c r="A44" s="3"/>
      <c r="B44" s="4" t="s">
        <v>457</v>
      </c>
    </row>
    <row r="45" spans="1:2" ht="63.75" x14ac:dyDescent="0.2">
      <c r="A45" s="3" t="s">
        <v>1</v>
      </c>
      <c r="B45" s="4" t="s">
        <v>458</v>
      </c>
    </row>
    <row r="46" spans="1:2" ht="25.5" x14ac:dyDescent="0.2">
      <c r="A46" s="3"/>
      <c r="B46" s="4" t="s">
        <v>459</v>
      </c>
    </row>
    <row r="47" spans="1:2" ht="25.5" x14ac:dyDescent="0.2">
      <c r="A47" s="3" t="s">
        <v>1</v>
      </c>
      <c r="B47" s="4" t="s">
        <v>560</v>
      </c>
    </row>
    <row r="48" spans="1:2" ht="25.5" x14ac:dyDescent="0.2">
      <c r="A48" s="3"/>
      <c r="B48" s="4" t="s">
        <v>520</v>
      </c>
    </row>
    <row r="49" spans="1:2" x14ac:dyDescent="0.2">
      <c r="A49" s="3" t="s">
        <v>1</v>
      </c>
      <c r="B49" s="4" t="s">
        <v>559</v>
      </c>
    </row>
  </sheetData>
  <dataValidations count="5">
    <dataValidation type="list" allowBlank="1" showInputMessage="1" showErrorMessage="1" sqref="B6" xr:uid="{E4EF4125-75E3-4763-BD80-F6F5EF3EDA01}">
      <formula1>"CWE ≤ ECC, CWE ≥ ECC, CWE ? ECC"</formula1>
    </dataValidation>
    <dataValidation type="list" allowBlank="1" showInputMessage="1" sqref="B7" xr:uid="{9C740604-8A10-4C6B-8F64-CFA63A98EA19}">
      <formula1>"Yes, No, Unknown"</formula1>
    </dataValidation>
    <dataValidation type="list" allowBlank="1" showInputMessage="1" sqref="B8" xr:uid="{E3C4A375-0AF6-4EC2-AB89-FC7115E43057}">
      <formula1>"MILCON, SRM, O&amp;M, Host Nation, Other"</formula1>
    </dataValidation>
    <dataValidation type="list" allowBlank="1" showInputMessage="1" sqref="B9" xr:uid="{99087577-01E7-4FF6-B82F-F06B4DB90FFE}">
      <formula1>"Army, Air Force, Navy, Marines, DPW, DLA, DoDEA"</formula1>
    </dataValidation>
    <dataValidation type="list" allowBlank="1" showInputMessage="1" sqref="B11" xr:uid="{0EBA5546-3AC0-429A-9BBB-0660B4E1B231}">
      <formula1>"DBB, DB"</formula1>
    </dataValidation>
  </dataValidations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7194F-305F-4B21-A775-7BB3F14CA27E}">
  <sheetPr codeName="Sheet25"/>
  <dimension ref="A1:G47"/>
  <sheetViews>
    <sheetView showGridLines="0" topLeftCell="A3" workbookViewId="0">
      <selection activeCell="G34" sqref="G34"/>
    </sheetView>
  </sheetViews>
  <sheetFormatPr defaultRowHeight="12.75" x14ac:dyDescent="0.2"/>
  <cols>
    <col min="1" max="1" width="12.28515625" bestFit="1" customWidth="1"/>
    <col min="2" max="2" width="50.7109375" customWidth="1"/>
    <col min="4" max="4" width="4.7109375" customWidth="1"/>
    <col min="5" max="5" width="20.7109375" customWidth="1"/>
    <col min="6" max="7" width="15.7109375" style="6" customWidth="1"/>
  </cols>
  <sheetData>
    <row r="1" spans="1:7" x14ac:dyDescent="0.2">
      <c r="A1" s="1" t="s">
        <v>10</v>
      </c>
      <c r="D1" s="1" t="s">
        <v>79</v>
      </c>
    </row>
    <row r="2" spans="1:7" ht="13.5" x14ac:dyDescent="0.2">
      <c r="A2" t="s">
        <v>3</v>
      </c>
      <c r="B2" t="s">
        <v>9</v>
      </c>
      <c r="D2" s="10" t="s">
        <v>61</v>
      </c>
      <c r="E2" s="5" t="s">
        <v>62</v>
      </c>
      <c r="F2" s="7" t="s">
        <v>512</v>
      </c>
      <c r="G2" s="7" t="s">
        <v>65</v>
      </c>
    </row>
    <row r="3" spans="1:7" ht="15.6" customHeight="1" x14ac:dyDescent="0.2">
      <c r="A3" s="2" t="s">
        <v>4</v>
      </c>
      <c r="B3" s="2" t="s">
        <v>487</v>
      </c>
      <c r="D3" s="26">
        <v>1</v>
      </c>
      <c r="E3" s="27" t="s">
        <v>66</v>
      </c>
      <c r="F3" s="28">
        <v>45588</v>
      </c>
      <c r="G3" s="28"/>
    </row>
    <row r="4" spans="1:7" ht="15.6" customHeight="1" x14ac:dyDescent="0.2">
      <c r="A4" s="2" t="s">
        <v>5</v>
      </c>
      <c r="B4" s="2">
        <v>521288</v>
      </c>
      <c r="D4" s="26">
        <v>2</v>
      </c>
      <c r="E4" s="27" t="s">
        <v>67</v>
      </c>
      <c r="F4" s="28" t="s">
        <v>479</v>
      </c>
      <c r="G4" s="28"/>
    </row>
    <row r="5" spans="1:7" ht="15.6" customHeight="1" x14ac:dyDescent="0.2">
      <c r="A5" s="2" t="s">
        <v>6</v>
      </c>
      <c r="B5" s="2" t="s">
        <v>282</v>
      </c>
      <c r="D5" s="26">
        <v>6</v>
      </c>
      <c r="E5" s="27" t="s">
        <v>272</v>
      </c>
      <c r="F5" s="28">
        <v>45677</v>
      </c>
      <c r="G5" s="28">
        <v>45698</v>
      </c>
    </row>
    <row r="6" spans="1:7" ht="15.6" customHeight="1" x14ac:dyDescent="0.2">
      <c r="A6" s="2" t="s">
        <v>7</v>
      </c>
      <c r="B6" s="2" t="s">
        <v>38</v>
      </c>
      <c r="D6" s="26">
        <v>7</v>
      </c>
      <c r="E6" s="27" t="s">
        <v>72</v>
      </c>
      <c r="F6" s="28">
        <v>45702</v>
      </c>
      <c r="G6" s="28"/>
    </row>
    <row r="7" spans="1:7" ht="15.6" customHeight="1" x14ac:dyDescent="0.2">
      <c r="A7" s="2" t="s">
        <v>8</v>
      </c>
      <c r="B7" s="2" t="s">
        <v>340</v>
      </c>
      <c r="D7" s="18">
        <v>10</v>
      </c>
      <c r="E7" s="19" t="s">
        <v>164</v>
      </c>
      <c r="F7" s="20">
        <v>45730</v>
      </c>
      <c r="G7" s="20">
        <v>45751</v>
      </c>
    </row>
    <row r="8" spans="1:7" ht="15.6" customHeight="1" x14ac:dyDescent="0.2">
      <c r="A8" s="2" t="s">
        <v>33</v>
      </c>
      <c r="B8" s="2" t="s">
        <v>434</v>
      </c>
      <c r="D8" s="11">
        <v>11</v>
      </c>
      <c r="E8" s="8" t="s">
        <v>72</v>
      </c>
      <c r="F8" s="9">
        <v>45755</v>
      </c>
      <c r="G8" s="9"/>
    </row>
    <row r="9" spans="1:7" ht="15.6" customHeight="1" x14ac:dyDescent="0.2">
      <c r="A9" s="2" t="s">
        <v>32</v>
      </c>
      <c r="B9" s="2" t="s">
        <v>341</v>
      </c>
      <c r="D9" s="11">
        <v>12</v>
      </c>
      <c r="E9" s="8" t="s">
        <v>75</v>
      </c>
      <c r="F9" s="9">
        <v>45769</v>
      </c>
      <c r="G9" s="9">
        <v>45776</v>
      </c>
    </row>
    <row r="10" spans="1:7" ht="15.6" customHeight="1" x14ac:dyDescent="0.2">
      <c r="A10" s="2" t="s">
        <v>216</v>
      </c>
      <c r="B10" s="2" t="s">
        <v>217</v>
      </c>
      <c r="D10" s="11">
        <v>13</v>
      </c>
      <c r="E10" s="8" t="s">
        <v>76</v>
      </c>
      <c r="F10" s="9" t="s">
        <v>80</v>
      </c>
      <c r="G10" s="9"/>
    </row>
    <row r="11" spans="1:7" ht="15.6" customHeight="1" x14ac:dyDescent="0.2">
      <c r="A11" s="2" t="s">
        <v>34</v>
      </c>
      <c r="B11" s="2" t="s">
        <v>109</v>
      </c>
      <c r="D11" s="11">
        <v>14</v>
      </c>
      <c r="E11" s="8" t="s">
        <v>77</v>
      </c>
      <c r="F11" s="9">
        <v>45783</v>
      </c>
      <c r="G11" s="9"/>
    </row>
    <row r="12" spans="1:7" ht="15.6" customHeight="1" x14ac:dyDescent="0.2">
      <c r="A12" s="2" t="s">
        <v>35</v>
      </c>
      <c r="B12" s="2"/>
      <c r="D12" s="11">
        <v>15</v>
      </c>
      <c r="E12" s="8" t="s">
        <v>78</v>
      </c>
      <c r="F12" s="9" t="s">
        <v>80</v>
      </c>
      <c r="G12" s="9"/>
    </row>
    <row r="13" spans="1:7" ht="15.6" customHeight="1" x14ac:dyDescent="0.2">
      <c r="A13" s="2" t="s">
        <v>529</v>
      </c>
      <c r="B13" s="46" t="s">
        <v>530</v>
      </c>
    </row>
    <row r="14" spans="1:7" ht="15.6" customHeight="1" x14ac:dyDescent="0.2"/>
    <row r="15" spans="1:7" ht="15.6" customHeight="1" x14ac:dyDescent="0.2">
      <c r="A15" s="1" t="s">
        <v>29</v>
      </c>
    </row>
    <row r="16" spans="1:7" ht="15.6" customHeight="1" x14ac:dyDescent="0.2">
      <c r="A16" t="s">
        <v>11</v>
      </c>
      <c r="B16" t="s">
        <v>28</v>
      </c>
    </row>
    <row r="17" spans="1:2" ht="15.6" customHeight="1" x14ac:dyDescent="0.2">
      <c r="A17" t="s">
        <v>12</v>
      </c>
      <c r="B17" t="s">
        <v>42</v>
      </c>
    </row>
    <row r="18" spans="1:2" x14ac:dyDescent="0.2">
      <c r="A18" t="s">
        <v>13</v>
      </c>
      <c r="B18" t="s">
        <v>43</v>
      </c>
    </row>
    <row r="19" spans="1:2" x14ac:dyDescent="0.2">
      <c r="A19" t="s">
        <v>14</v>
      </c>
      <c r="B19" t="s">
        <v>255</v>
      </c>
    </row>
    <row r="20" spans="1:2" x14ac:dyDescent="0.2">
      <c r="A20" t="s">
        <v>15</v>
      </c>
      <c r="B20" t="s">
        <v>462</v>
      </c>
    </row>
    <row r="21" spans="1:2" x14ac:dyDescent="0.2">
      <c r="A21" t="s">
        <v>16</v>
      </c>
      <c r="B21" t="s">
        <v>321</v>
      </c>
    </row>
    <row r="22" spans="1:2" x14ac:dyDescent="0.2">
      <c r="A22" t="s">
        <v>17</v>
      </c>
      <c r="B22" t="s">
        <v>47</v>
      </c>
    </row>
    <row r="23" spans="1:2" x14ac:dyDescent="0.2">
      <c r="A23" t="s">
        <v>18</v>
      </c>
      <c r="B23" t="s">
        <v>106</v>
      </c>
    </row>
    <row r="24" spans="1:2" x14ac:dyDescent="0.2">
      <c r="A24" t="s">
        <v>19</v>
      </c>
      <c r="B24" t="s">
        <v>86</v>
      </c>
    </row>
    <row r="25" spans="1:2" x14ac:dyDescent="0.2">
      <c r="A25" t="s">
        <v>20</v>
      </c>
      <c r="B25" t="s">
        <v>345</v>
      </c>
    </row>
    <row r="26" spans="1:2" x14ac:dyDescent="0.2">
      <c r="A26" t="s">
        <v>239</v>
      </c>
      <c r="B26" t="s">
        <v>504</v>
      </c>
    </row>
    <row r="27" spans="1:2" x14ac:dyDescent="0.2">
      <c r="A27" t="s">
        <v>237</v>
      </c>
      <c r="B27" t="s">
        <v>345</v>
      </c>
    </row>
    <row r="28" spans="1:2" x14ac:dyDescent="0.2">
      <c r="A28" t="s">
        <v>22</v>
      </c>
      <c r="B28" t="s">
        <v>345</v>
      </c>
    </row>
    <row r="29" spans="1:2" x14ac:dyDescent="0.2">
      <c r="A29" t="s">
        <v>23</v>
      </c>
      <c r="B29" t="s">
        <v>175</v>
      </c>
    </row>
    <row r="30" spans="1:2" x14ac:dyDescent="0.2">
      <c r="A30" t="s">
        <v>24</v>
      </c>
      <c r="B30" t="s">
        <v>176</v>
      </c>
    </row>
    <row r="31" spans="1:2" x14ac:dyDescent="0.2">
      <c r="A31" t="s">
        <v>25</v>
      </c>
      <c r="B31" t="s">
        <v>308</v>
      </c>
    </row>
    <row r="32" spans="1:2" x14ac:dyDescent="0.2">
      <c r="A32" t="s">
        <v>30</v>
      </c>
      <c r="B32" t="s">
        <v>508</v>
      </c>
    </row>
    <row r="33" spans="1:2" x14ac:dyDescent="0.2">
      <c r="A33" t="s">
        <v>26</v>
      </c>
      <c r="B33" t="s">
        <v>463</v>
      </c>
    </row>
    <row r="34" spans="1:2" x14ac:dyDescent="0.2">
      <c r="A34" t="s">
        <v>27</v>
      </c>
      <c r="B34" t="s">
        <v>341</v>
      </c>
    </row>
    <row r="35" spans="1:2" x14ac:dyDescent="0.2">
      <c r="A35" t="s">
        <v>238</v>
      </c>
      <c r="B35" t="s">
        <v>217</v>
      </c>
    </row>
    <row r="37" spans="1:2" x14ac:dyDescent="0.2">
      <c r="A37" s="1" t="s">
        <v>31</v>
      </c>
    </row>
    <row r="38" spans="1:2" x14ac:dyDescent="0.2">
      <c r="A38" t="s">
        <v>2</v>
      </c>
      <c r="B38" t="s">
        <v>0</v>
      </c>
    </row>
    <row r="39" spans="1:2" x14ac:dyDescent="0.2">
      <c r="A39" s="3"/>
      <c r="B39" s="4" t="s">
        <v>342</v>
      </c>
    </row>
    <row r="40" spans="1:2" x14ac:dyDescent="0.2">
      <c r="A40" s="3"/>
      <c r="B40" s="4" t="s">
        <v>343</v>
      </c>
    </row>
    <row r="41" spans="1:2" x14ac:dyDescent="0.2">
      <c r="A41" s="3"/>
      <c r="B41" s="4" t="s">
        <v>367</v>
      </c>
    </row>
    <row r="42" spans="1:2" x14ac:dyDescent="0.2">
      <c r="A42" s="3"/>
      <c r="B42" s="4" t="s">
        <v>366</v>
      </c>
    </row>
    <row r="43" spans="1:2" x14ac:dyDescent="0.2">
      <c r="A43" s="3"/>
      <c r="B43" s="4" t="s">
        <v>368</v>
      </c>
    </row>
    <row r="44" spans="1:2" x14ac:dyDescent="0.2">
      <c r="A44" s="3"/>
      <c r="B44" s="4" t="s">
        <v>391</v>
      </c>
    </row>
    <row r="45" spans="1:2" ht="25.5" x14ac:dyDescent="0.2">
      <c r="A45" s="3"/>
      <c r="B45" s="4" t="s">
        <v>460</v>
      </c>
    </row>
    <row r="46" spans="1:2" x14ac:dyDescent="0.2">
      <c r="A46" s="3"/>
      <c r="B46" s="4" t="s">
        <v>461</v>
      </c>
    </row>
    <row r="47" spans="1:2" ht="25.5" x14ac:dyDescent="0.2">
      <c r="A47" s="3" t="s">
        <v>1</v>
      </c>
      <c r="B47" s="4" t="s">
        <v>561</v>
      </c>
    </row>
  </sheetData>
  <dataValidations disablePrompts="1" count="5">
    <dataValidation type="list" allowBlank="1" showInputMessage="1" showErrorMessage="1" sqref="B6" xr:uid="{87B3F80C-FFEE-4730-840C-F35FFA2215BA}">
      <formula1>"CWE ≤ ECC, CWE ≥ ECC, CWE ? ECC"</formula1>
    </dataValidation>
    <dataValidation type="list" allowBlank="1" showInputMessage="1" sqref="B7" xr:uid="{003C7862-DD13-42D2-B215-2CC82FC0DCD2}">
      <formula1>"Yes, No, Unknown"</formula1>
    </dataValidation>
    <dataValidation type="list" allowBlank="1" showInputMessage="1" sqref="B8" xr:uid="{BA719AAD-B449-46DB-960C-A020B4060D09}">
      <formula1>"MILCON, SRM, O&amp;M, Host Nation, Other"</formula1>
    </dataValidation>
    <dataValidation type="list" allowBlank="1" showInputMessage="1" sqref="B9" xr:uid="{293ECB8C-6F9C-4C30-9029-5D7D5D249F1F}">
      <formula1>"Army, Air Force, Navy, Marines, DPW, DLA, DoDEA"</formula1>
    </dataValidation>
    <dataValidation type="list" allowBlank="1" showInputMessage="1" sqref="B11" xr:uid="{BE46DE9C-C831-455F-9D9D-CDD93902FD24}">
      <formula1>"DBB, DB"</formula1>
    </dataValidation>
  </dataValidations>
  <pageMargins left="0.7" right="0.7" top="0.75" bottom="0.75" header="0.3" footer="0.3"/>
  <pageSetup orientation="portrait" r:id="rId1"/>
  <ignoredErrors>
    <ignoredError sqref="B7:B9" listDataValidation="1"/>
  </ignoredErrors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JP8</vt:lpstr>
      <vt:lpstr>KAW Mun</vt:lpstr>
      <vt:lpstr>B1585 DIPC</vt:lpstr>
      <vt:lpstr>SGD B122</vt:lpstr>
      <vt:lpstr>SGD AFFF</vt:lpstr>
      <vt:lpstr>Kure B100</vt:lpstr>
      <vt:lpstr>Kure B200</vt:lpstr>
      <vt:lpstr>YND BrE</vt:lpstr>
      <vt:lpstr>AFH 971</vt:lpstr>
      <vt:lpstr>_B3660</vt:lpstr>
      <vt:lpstr>Muns B45110</vt:lpstr>
      <vt:lpstr>H524 SOQ</vt:lpstr>
      <vt:lpstr>P1024 Dehum</vt:lpstr>
      <vt:lpstr>_Lanham ES</vt:lpstr>
      <vt:lpstr>H2406 WHR</vt:lpstr>
      <vt:lpstr>P530</vt:lpstr>
      <vt:lpstr>Fuji</vt:lpstr>
      <vt:lpstr>_AFVQ</vt:lpstr>
      <vt:lpstr>SACC</vt:lpstr>
      <vt:lpstr>B743SoT</vt:lpstr>
      <vt:lpstr>PAIP10-1</vt:lpstr>
      <vt:lpstr>PAIP10-2</vt:lpstr>
      <vt:lpstr>PAIP10-3</vt:lpstr>
      <vt:lpstr>NoPond</vt:lpstr>
      <vt:lpstr>RepC130</vt:lpstr>
      <vt:lpstr>B1012</vt:lpstr>
      <vt:lpstr>B410</vt:lpstr>
      <vt:lpstr>Sollars</vt:lpstr>
      <vt:lpstr>DISA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Fisher, Benjamin S CIV USARMY CEPOJ (USA)</dc:creator>
  <cp:lastModifiedBy>Ben Fisher</cp:lastModifiedBy>
  <dcterms:created xsi:type="dcterms:W3CDTF">2024-03-29T00:37:56Z</dcterms:created>
  <dcterms:modified xsi:type="dcterms:W3CDTF">2025-03-10T05:08:27Z</dcterms:modified>
</cp:coreProperties>
</file>