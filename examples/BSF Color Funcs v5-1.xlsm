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enst\Documents\_0 Workspace\py\VBAUtilties\"/>
    </mc:Choice>
  </mc:AlternateContent>
  <xr:revisionPtr revIDLastSave="0" documentId="8_{3A00B83D-2DB6-4DEB-B8B8-9C191C1B476D}" xr6:coauthVersionLast="47" xr6:coauthVersionMax="47" xr10:uidLastSave="{00000000-0000-0000-0000-000000000000}"/>
  <bookViews>
    <workbookView xWindow="-21690" yWindow="960" windowWidth="18975" windowHeight="12810" activeTab="1" xr2:uid="{0A45107D-D1E8-41E9-B9E4-18759A1C7895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24" i="2" l="1"/>
  <c r="N25" i="2"/>
  <c r="N26" i="2"/>
  <c r="N27" i="2"/>
  <c r="N23" i="2"/>
  <c r="Q24" i="2"/>
  <c r="Q25" i="2"/>
  <c r="Q26" i="2"/>
  <c r="Q27" i="2"/>
  <c r="Q23" i="2"/>
  <c r="J24" i="2"/>
  <c r="J25" i="2"/>
  <c r="J26" i="2"/>
  <c r="J27" i="2"/>
  <c r="J23" i="2"/>
  <c r="G24" i="2"/>
  <c r="G25" i="2"/>
  <c r="G26" i="2"/>
  <c r="G27" i="2"/>
  <c r="G23" i="2"/>
  <c r="Q21" i="2" a="1"/>
  <c r="Q20" i="2" a="1"/>
  <c r="Q19" i="2" a="1"/>
  <c r="Q18" i="2" a="1"/>
  <c r="Q17" i="2" a="1"/>
  <c r="N21" i="2" a="1"/>
  <c r="N17" i="2" a="1"/>
  <c r="N18" i="2" a="1"/>
  <c r="N20" i="2" a="1"/>
  <c r="N19" i="2" a="1"/>
  <c r="J21" i="2" a="1"/>
  <c r="J20" i="2" a="1"/>
  <c r="J17" i="2" a="1"/>
  <c r="J19" i="2" a="1"/>
  <c r="J18" i="2" a="1"/>
  <c r="G21" i="2" a="1"/>
  <c r="G18" i="2" a="1"/>
  <c r="G20" i="2" a="1"/>
  <c r="G19" i="2" a="1"/>
  <c r="G17" i="2" a="1"/>
  <c r="Q17" i="2" l="1"/>
  <c r="Q18" i="2"/>
  <c r="Q19" i="2"/>
  <c r="Q20" i="2"/>
  <c r="Q21" i="2"/>
  <c r="N19" i="2"/>
  <c r="N20" i="2"/>
  <c r="N18" i="2"/>
  <c r="N17" i="2"/>
  <c r="N21" i="2"/>
  <c r="J18" i="2"/>
  <c r="J19" i="2"/>
  <c r="J17" i="2"/>
  <c r="J20" i="2"/>
  <c r="J21" i="2"/>
  <c r="G19" i="2"/>
  <c r="G20" i="2"/>
  <c r="G18" i="2"/>
  <c r="G21" i="2"/>
  <c r="G17" i="2"/>
  <c r="H21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3" i="1"/>
  <c r="B4" i="1" a="1"/>
  <c r="F21" i="2" a="1"/>
  <c r="M17" i="2" a="1"/>
  <c r="I18" i="2" a="1"/>
  <c r="M21" i="2" a="1"/>
  <c r="P18" i="2" a="1"/>
  <c r="I21" i="2" a="1"/>
  <c r="P19" i="2" a="1"/>
  <c r="P21" i="2" a="1"/>
  <c r="I19" i="2" a="1"/>
  <c r="F20" i="2" a="1"/>
  <c r="F18" i="2" a="1"/>
  <c r="M19" i="2" a="1"/>
  <c r="I20" i="2" a="1"/>
  <c r="F17" i="2" a="1"/>
  <c r="P17" i="2" a="1"/>
  <c r="M20" i="2" a="1"/>
  <c r="F19" i="2" a="1"/>
  <c r="I17" i="2" a="1"/>
  <c r="M18" i="2" a="1"/>
  <c r="P20" i="2" a="1"/>
  <c r="I38" i="1" a="1"/>
  <c r="I21" i="1" a="1"/>
  <c r="I17" i="1" a="1"/>
  <c r="J29" i="1" a="1"/>
  <c r="J34" i="1" a="1"/>
  <c r="I32" i="1" a="1"/>
  <c r="J52" i="1" a="1"/>
  <c r="I28" i="1" a="1"/>
  <c r="J47" i="1" a="1"/>
  <c r="J39" i="1" a="1"/>
  <c r="I15" i="1" a="1"/>
  <c r="I44" i="1" a="1"/>
  <c r="J38" i="1" a="1"/>
  <c r="I7" i="1" a="1"/>
  <c r="I37" i="1" a="1"/>
  <c r="J36" i="1" a="1"/>
  <c r="J19" i="1" a="1"/>
  <c r="I11" i="1" a="1"/>
  <c r="J12" i="1" a="1"/>
  <c r="I9" i="1" a="1"/>
  <c r="J26" i="1" a="1"/>
  <c r="J37" i="1" a="1"/>
  <c r="J43" i="1" a="1"/>
  <c r="I26" i="1" a="1"/>
  <c r="J10" i="1" a="1"/>
  <c r="J9" i="1" a="1"/>
  <c r="I39" i="1" a="1"/>
  <c r="I23" i="1" a="1"/>
  <c r="J45" i="1" a="1"/>
  <c r="I29" i="1" a="1"/>
  <c r="J46" i="1" a="1"/>
  <c r="J15" i="1" a="1"/>
  <c r="J48" i="1" a="1"/>
  <c r="I33" i="1" a="1"/>
  <c r="I27" i="1" a="1"/>
  <c r="J11" i="1" a="1"/>
  <c r="I4" i="1" a="1"/>
  <c r="I3" i="1" a="1"/>
  <c r="I42" i="1" a="1"/>
  <c r="I24" i="1" a="1"/>
  <c r="J14" i="1" a="1"/>
  <c r="J16" i="1" a="1"/>
  <c r="J18" i="1" a="1"/>
  <c r="I20" i="1" a="1"/>
  <c r="I43" i="1" a="1"/>
  <c r="J33" i="1" a="1"/>
  <c r="J23" i="1" a="1"/>
  <c r="I36" i="1" a="1"/>
  <c r="J3" i="1" a="1"/>
  <c r="J20" i="1" a="1"/>
  <c r="I30" i="1" a="1"/>
  <c r="J30" i="1" a="1"/>
  <c r="I52" i="1" a="1"/>
  <c r="J6" i="1" a="1"/>
  <c r="I46" i="1" a="1"/>
  <c r="I31" i="1" a="1"/>
  <c r="I5" i="1" a="1"/>
  <c r="I34" i="1" a="1"/>
  <c r="I50" i="1" a="1"/>
  <c r="J7" i="1" a="1"/>
  <c r="I45" i="1" a="1"/>
  <c r="J25" i="1" a="1"/>
  <c r="J5" i="1" a="1"/>
  <c r="J13" i="1" a="1"/>
  <c r="J49" i="1" a="1"/>
  <c r="J35" i="1" a="1"/>
  <c r="J22" i="1" a="1"/>
  <c r="I35" i="1" a="1"/>
  <c r="J42" i="1" a="1"/>
  <c r="I10" i="1" a="1"/>
  <c r="J28" i="1" a="1"/>
  <c r="J4" i="1" a="1"/>
  <c r="I25" i="1" a="1"/>
  <c r="J40" i="1" a="1"/>
  <c r="I41" i="1" a="1"/>
  <c r="I49" i="1" a="1"/>
  <c r="J27" i="1" a="1"/>
  <c r="I12" i="1" a="1"/>
  <c r="I16" i="1" a="1"/>
  <c r="J32" i="1" a="1"/>
  <c r="J24" i="1" a="1"/>
  <c r="J50" i="1" a="1"/>
  <c r="J21" i="1" a="1"/>
  <c r="I19" i="1" a="1"/>
  <c r="I14" i="1" a="1"/>
  <c r="I51" i="1" a="1"/>
  <c r="I18" i="1" a="1"/>
  <c r="I13" i="1" a="1"/>
  <c r="I22" i="1" a="1"/>
  <c r="J41" i="1" a="1"/>
  <c r="J44" i="1" a="1"/>
  <c r="J51" i="1" a="1"/>
  <c r="I40" i="1" a="1"/>
  <c r="I6" i="1" a="1"/>
  <c r="J17" i="1" a="1"/>
  <c r="I47" i="1" a="1"/>
  <c r="I8" i="1" a="1"/>
  <c r="J8" i="1" a="1"/>
  <c r="J31" i="1" a="1"/>
  <c r="I48" i="1" a="1"/>
  <c r="M21" i="2" l="1"/>
  <c r="P20" i="2"/>
  <c r="M18" i="2"/>
  <c r="M20" i="2"/>
  <c r="P19" i="2"/>
  <c r="M19" i="2"/>
  <c r="P21" i="2"/>
  <c r="P18" i="2"/>
  <c r="P17" i="2"/>
  <c r="M17" i="2"/>
  <c r="F19" i="2"/>
  <c r="F20" i="2"/>
  <c r="I20" i="2"/>
  <c r="I19" i="2"/>
  <c r="I21" i="2"/>
  <c r="I18" i="2"/>
  <c r="F21" i="2"/>
  <c r="F18" i="2"/>
  <c r="I17" i="2"/>
  <c r="F17" i="2"/>
  <c r="J39" i="1"/>
  <c r="J11" i="1"/>
  <c r="J51" i="1"/>
  <c r="J43" i="1"/>
  <c r="J35" i="1"/>
  <c r="J31" i="1"/>
  <c r="J19" i="1"/>
  <c r="J15" i="1"/>
  <c r="J7" i="1"/>
  <c r="J50" i="1"/>
  <c r="J46" i="1"/>
  <c r="J42" i="1"/>
  <c r="J38" i="1"/>
  <c r="J34" i="1"/>
  <c r="J30" i="1"/>
  <c r="J26" i="1"/>
  <c r="J22" i="1"/>
  <c r="J18" i="1"/>
  <c r="J14" i="1"/>
  <c r="J10" i="1"/>
  <c r="J6" i="1"/>
  <c r="J23" i="1"/>
  <c r="J49" i="1"/>
  <c r="J45" i="1"/>
  <c r="J41" i="1"/>
  <c r="J37" i="1"/>
  <c r="J33" i="1"/>
  <c r="J29" i="1"/>
  <c r="J25" i="1"/>
  <c r="J21" i="1"/>
  <c r="J17" i="1"/>
  <c r="J13" i="1"/>
  <c r="J9" i="1"/>
  <c r="J5" i="1"/>
  <c r="J27" i="1"/>
  <c r="J47" i="1"/>
  <c r="J52" i="1"/>
  <c r="J48" i="1"/>
  <c r="J44" i="1"/>
  <c r="J40" i="1"/>
  <c r="J36" i="1"/>
  <c r="J32" i="1"/>
  <c r="J28" i="1"/>
  <c r="J24" i="1"/>
  <c r="J20" i="1"/>
  <c r="J16" i="1"/>
  <c r="J12" i="1"/>
  <c r="J8" i="1"/>
  <c r="J4" i="1"/>
  <c r="J3" i="1"/>
  <c r="B4" i="1"/>
  <c r="I51" i="1"/>
  <c r="I43" i="1"/>
  <c r="I48" i="1"/>
  <c r="I40" i="1"/>
  <c r="I38" i="1"/>
  <c r="I45" i="1"/>
  <c r="I37" i="1"/>
  <c r="I50" i="1"/>
  <c r="I42" i="1"/>
  <c r="I34" i="1"/>
  <c r="I46" i="1"/>
  <c r="I47" i="1"/>
  <c r="I39" i="1"/>
  <c r="I49" i="1"/>
  <c r="I35" i="1"/>
  <c r="I52" i="1"/>
  <c r="I44" i="1"/>
  <c r="I36" i="1"/>
  <c r="I41" i="1"/>
  <c r="I33" i="1"/>
  <c r="I31" i="1"/>
  <c r="I27" i="1"/>
  <c r="I23" i="1"/>
  <c r="I19" i="1"/>
  <c r="I15" i="1"/>
  <c r="I11" i="1"/>
  <c r="I7" i="1"/>
  <c r="I30" i="1"/>
  <c r="I26" i="1"/>
  <c r="I22" i="1"/>
  <c r="I18" i="1"/>
  <c r="I14" i="1"/>
  <c r="I10" i="1"/>
  <c r="I6" i="1"/>
  <c r="I29" i="1"/>
  <c r="I25" i="1"/>
  <c r="I21" i="1"/>
  <c r="I17" i="1"/>
  <c r="I13" i="1"/>
  <c r="I9" i="1"/>
  <c r="I5" i="1"/>
  <c r="I32" i="1"/>
  <c r="I28" i="1"/>
  <c r="I24" i="1"/>
  <c r="I20" i="1"/>
  <c r="I16" i="1"/>
  <c r="I12" i="1"/>
  <c r="I8" i="1"/>
  <c r="I4" i="1"/>
  <c r="I3" i="1"/>
  <c r="B2" i="1" a="1"/>
  <c r="C4" i="1" a="1"/>
  <c r="C4" i="1" l="1"/>
  <c r="D4" i="1" s="1"/>
  <c r="B2" i="1"/>
  <c r="C2" i="1" a="1"/>
  <c r="C2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<sst xmlns="http://schemas.openxmlformats.org/spreadsheetml/2006/main" count="35" uniqueCount="35">
  <si>
    <t>239,51,64</t>
  </si>
  <si>
    <t>Color</t>
  </si>
  <si>
    <t>Contrast Mono</t>
  </si>
  <si>
    <t>Contrast Hue</t>
  </si>
  <si>
    <t>255,0,0</t>
  </si>
  <si>
    <t>Dark</t>
  </si>
  <si>
    <t>Red</t>
  </si>
  <si>
    <t>Yellow</t>
  </si>
  <si>
    <t>Green</t>
  </si>
  <si>
    <t>Blue</t>
  </si>
  <si>
    <t>Grey</t>
  </si>
  <si>
    <t>Light</t>
  </si>
  <si>
    <t>2c060e</t>
  </si>
  <si>
    <t>051b11</t>
  </si>
  <si>
    <t>031b33</t>
  </si>
  <si>
    <t>ea868f</t>
  </si>
  <si>
    <t>ffda6a</t>
  </si>
  <si>
    <t>75a85f</t>
  </si>
  <si>
    <t>6ea8fe</t>
  </si>
  <si>
    <t>a7acb1</t>
  </si>
  <si>
    <t>f8d7da</t>
  </si>
  <si>
    <t>fff3cd</t>
  </si>
  <si>
    <t>d1e7dd</t>
  </si>
  <si>
    <t>cfe2ff</t>
  </si>
  <si>
    <t>e2e3e5</t>
  </si>
  <si>
    <t>58151c</t>
  </si>
  <si>
    <t>664d03</t>
  </si>
  <si>
    <t>0a3622</t>
  </si>
  <si>
    <t>2b2f32</t>
  </si>
  <si>
    <t>052c65</t>
  </si>
  <si>
    <t>DANGER</t>
  </si>
  <si>
    <t>WARNING</t>
  </si>
  <si>
    <t>SUCCESS</t>
  </si>
  <si>
    <t>PRIMARY</t>
  </si>
  <si>
    <t>SECONDARY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</si>
</sst>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05" x14ac:knownFonts="1">
    <font>
      <sz val="10"/>
      <color theme="1"/>
      <name val="Arial"/>
      <family val="2"/>
    </font>
    <font>
      <sz val="10"/>
      <color rgb="FFFFFFFF"/>
      <name val="Arial"/>
      <family val="2"/>
    </font>
    <font>
      <sz val="10"/>
      <color rgb="FF595959"/>
      <name val="Arial"/>
      <family val="2"/>
    </font>
    <font>
      <sz val="10"/>
      <color rgb="FF374F45"/>
      <name val="Arial"/>
      <family val="2"/>
    </font>
    <font>
      <sz val="10"/>
      <color rgb="FFBFBFBF"/>
      <name val="Arial"/>
      <family val="2"/>
    </font>
    <font>
      <sz val="10"/>
      <color rgb="FFCDD3D0"/>
      <name val="Arial"/>
      <family val="2"/>
    </font>
    <font>
      <sz val="10"/>
      <color rgb="FFF0D8E4"/>
      <name val="Arial"/>
      <family val="2"/>
    </font>
    <font>
      <sz val="10"/>
      <color rgb="FF554E52"/>
      <name val="Arial"/>
      <family val="2"/>
    </font>
    <font>
      <sz val="10"/>
      <color rgb="FFCBE6C4"/>
      <name val="Arial"/>
      <family val="2"/>
    </font>
    <font>
      <sz val="10"/>
      <color rgb="FF4B5248"/>
      <name val="Arial"/>
      <family val="2"/>
    </font>
    <font>
      <sz val="10"/>
      <color rgb="FFD6C6C3"/>
      <name val="Arial"/>
      <family val="2"/>
    </font>
    <font>
      <sz val="10"/>
      <color rgb="FF4E4948"/>
      <name val="Arial"/>
      <family val="2"/>
    </font>
    <font>
      <sz val="10"/>
      <color rgb="FFDBDFEE"/>
      <name val="Arial"/>
      <family val="2"/>
    </font>
    <font>
      <sz val="10"/>
      <color rgb="FF4F5055"/>
      <name val="Arial"/>
      <family val="2"/>
    </font>
    <font>
      <sz val="10"/>
      <color rgb="FFF4D0D5"/>
      <name val="Arial"/>
      <family val="2"/>
    </font>
    <font>
      <sz val="10"/>
      <color rgb="FF564C4D"/>
      <name val="Arial"/>
      <family val="2"/>
    </font>
    <font>
      <sz val="10"/>
      <color rgb="FFCCC7C8"/>
      <name val="Arial"/>
      <family val="2"/>
    </font>
    <font>
      <sz val="10"/>
      <color rgb="FF4B4A4A"/>
      <name val="Arial"/>
      <family val="2"/>
    </font>
    <font>
      <sz val="10"/>
      <color rgb="FFCECCE6"/>
      <name val="Arial"/>
      <family val="2"/>
    </font>
    <font>
      <sz val="10"/>
      <color rgb="FF4B4B52"/>
      <name val="Arial"/>
      <family val="2"/>
    </font>
    <font>
      <sz val="10"/>
      <color rgb="FF29392B"/>
      <name val="Arial"/>
      <family val="2"/>
    </font>
    <font>
      <sz val="10"/>
      <color rgb="FFCACECA"/>
      <name val="Arial"/>
      <family val="2"/>
    </font>
    <font>
      <sz val="10"/>
      <color rgb="FFD7D8FE"/>
      <name val="Arial"/>
      <family val="2"/>
    </font>
    <font>
      <sz val="10"/>
      <color rgb="FF4E4E59"/>
      <name val="Arial"/>
      <family val="2"/>
    </font>
    <font>
      <sz val="10"/>
      <color rgb="FF224F08"/>
      <name val="Arial"/>
      <family val="2"/>
    </font>
    <font>
      <sz val="10"/>
      <color rgb="FFC8D3C1"/>
      <name val="Arial"/>
      <family val="2"/>
    </font>
    <font>
      <sz val="10"/>
      <color rgb="FFEAD5E9"/>
      <name val="Arial"/>
      <family val="2"/>
    </font>
    <font>
      <sz val="10"/>
      <color rgb="FF534E53"/>
      <name val="Arial"/>
      <family val="2"/>
    </font>
    <font>
      <sz val="10"/>
      <color rgb="FF16484E"/>
      <name val="Arial"/>
      <family val="2"/>
    </font>
    <font>
      <sz val="10"/>
      <color rgb="FFC5D1D3"/>
      <name val="Arial"/>
      <family val="2"/>
    </font>
    <font>
      <sz val="10"/>
      <color rgb="FF463241"/>
      <name val="Arial"/>
      <family val="2"/>
    </font>
    <font>
      <sz val="10"/>
      <color rgb="FFD1CCD0"/>
      <name val="Arial"/>
      <family val="2"/>
    </font>
    <font>
      <sz val="10"/>
      <color rgb="FFF2DBC6"/>
      <name val="Arial"/>
      <family val="2"/>
    </font>
    <font>
      <sz val="10"/>
      <color rgb="FF564F49"/>
      <name val="Arial"/>
      <family val="2"/>
    </font>
    <font>
      <sz val="10"/>
      <color rgb="FFD0E0C2"/>
      <name val="Arial"/>
      <family val="2"/>
    </font>
    <font>
      <sz val="10"/>
      <color rgb="FF4C5048"/>
      <name val="Arial"/>
      <family val="2"/>
    </font>
    <font>
      <sz val="10"/>
      <color rgb="FF554A3A"/>
      <name val="Arial"/>
      <family val="2"/>
    </font>
    <font>
      <sz val="10"/>
      <color rgb="FFD4D2CE"/>
      <name val="Arial"/>
      <family val="2"/>
    </font>
    <font>
      <sz val="10"/>
      <color rgb="FF55294D"/>
      <name val="Arial"/>
      <family val="2"/>
    </font>
    <font>
      <sz val="10"/>
      <color rgb="FFD4CAD2"/>
      <name val="Arial"/>
      <family val="2"/>
    </font>
    <font>
      <sz val="10"/>
      <color rgb="FFE2CDC1"/>
      <name val="Arial"/>
      <family val="2"/>
    </font>
    <font>
      <sz val="10"/>
      <color rgb="FF514B48"/>
      <name val="Arial"/>
      <family val="2"/>
    </font>
    <font>
      <sz val="10"/>
      <color rgb="FF565602"/>
      <name val="Arial"/>
      <family val="2"/>
    </font>
    <font>
      <sz val="10"/>
      <color rgb="FFD5D5C0"/>
      <name val="Arial"/>
      <family val="2"/>
    </font>
    <font>
      <sz val="10"/>
      <color rgb="FF3B3631"/>
      <name val="Arial"/>
      <family val="2"/>
    </font>
    <font>
      <sz val="10"/>
      <color rgb="FFCECDCC"/>
      <name val="Arial"/>
      <family val="2"/>
    </font>
    <font>
      <sz val="10"/>
      <color rgb="FF334522"/>
      <name val="Arial"/>
      <family val="2"/>
    </font>
    <font>
      <sz val="10"/>
      <color rgb="FFCCD0C8"/>
      <name val="Arial"/>
      <family val="2"/>
    </font>
    <font>
      <sz val="10"/>
      <color rgb="FFCDC4DD"/>
      <name val="Arial"/>
      <family val="2"/>
    </font>
    <font>
      <sz val="10"/>
      <color rgb="FF4B4950"/>
      <name val="Arial"/>
      <family val="2"/>
    </font>
    <font>
      <sz val="10"/>
      <color rgb="FF544132"/>
      <name val="Arial"/>
      <family val="2"/>
    </font>
    <font>
      <sz val="10"/>
      <color rgb="FFD4D0CC"/>
      <name val="Arial"/>
      <family val="2"/>
    </font>
    <font>
      <sz val="10"/>
      <color rgb="FFD4DEEE"/>
      <name val="Arial"/>
      <family val="2"/>
    </font>
    <font>
      <sz val="10"/>
      <color rgb="FF4D5054"/>
      <name val="Arial"/>
      <family val="2"/>
    </font>
    <font>
      <sz val="10"/>
      <color rgb="FFD1EBDB"/>
      <name val="Arial"/>
      <family val="2"/>
    </font>
    <font>
      <sz val="10"/>
      <color rgb="FF4C544F"/>
      <name val="Arial"/>
      <family val="2"/>
    </font>
    <font>
      <sz val="10"/>
      <color rgb="FF323756"/>
      <name val="Arial"/>
      <family val="2"/>
    </font>
    <font>
      <sz val="10"/>
      <color rgb="FFCCCDD5"/>
      <name val="Arial"/>
      <family val="2"/>
    </font>
    <font>
      <sz val="10"/>
      <color rgb="FFC9E8D8"/>
      <name val="Arial"/>
      <family val="2"/>
    </font>
    <font>
      <sz val="10"/>
      <color rgb="FF4A534E"/>
      <name val="Arial"/>
      <family val="2"/>
    </font>
    <font>
      <sz val="10"/>
      <color rgb="FF4F4622"/>
      <name val="Arial"/>
      <family val="2"/>
    </font>
    <font>
      <sz val="10"/>
      <color rgb="FFD3D1C8"/>
      <name val="Arial"/>
      <family val="2"/>
    </font>
    <font>
      <sz val="10"/>
      <color rgb="FFD8CDF0"/>
      <name val="Arial"/>
      <family val="2"/>
    </font>
    <font>
      <sz val="10"/>
      <color rgb="FF4E4B55"/>
      <name val="Arial"/>
      <family val="2"/>
    </font>
    <font>
      <sz val="10"/>
      <color rgb="FFE8D0E0"/>
      <name val="Arial"/>
      <family val="2"/>
    </font>
    <font>
      <sz val="10"/>
      <color rgb="FF534C50"/>
      <name val="Arial"/>
      <family val="2"/>
    </font>
    <font>
      <sz val="10"/>
      <color rgb="FF125114"/>
      <name val="Arial"/>
      <family val="2"/>
    </font>
    <font>
      <sz val="10"/>
      <color rgb="FFC4D4C4"/>
      <name val="Arial"/>
      <family val="2"/>
    </font>
    <font>
      <sz val="10"/>
      <color rgb="FFCCDEC3"/>
      <name val="Arial"/>
      <family val="2"/>
    </font>
    <font>
      <sz val="10"/>
      <color rgb="FF4B5048"/>
      <name val="Arial"/>
      <family val="2"/>
    </font>
    <font>
      <sz val="10"/>
      <color rgb="FFC6CBE3"/>
      <name val="Arial"/>
      <family val="2"/>
    </font>
    <font>
      <sz val="10"/>
      <color rgb="FF4A4B52"/>
      <name val="Arial"/>
      <family val="2"/>
    </font>
    <font>
      <sz val="10"/>
      <color rgb="FFFCC4D3"/>
      <name val="Arial"/>
      <family val="2"/>
    </font>
    <font>
      <sz val="10"/>
      <color rgb="FF59494D"/>
      <name val="Arial"/>
      <family val="2"/>
    </font>
    <font>
      <sz val="10"/>
      <color rgb="FFFCC1D7"/>
      <name val="Arial"/>
      <family val="2"/>
    </font>
    <font>
      <sz val="10"/>
      <color rgb="FF58484E"/>
      <name val="Arial"/>
      <family val="2"/>
    </font>
    <font>
      <sz val="10"/>
      <color rgb="FFC6C6FD"/>
      <name val="Arial"/>
      <family val="2"/>
    </font>
    <font>
      <sz val="10"/>
      <color rgb="FF494959"/>
      <name val="Arial"/>
      <family val="2"/>
    </font>
    <font>
      <sz val="10"/>
      <color rgb="FF0A5521"/>
      <name val="Arial"/>
      <family val="2"/>
    </font>
    <font>
      <sz val="10"/>
      <color rgb="FFC2D4C8"/>
      <name val="Arial"/>
      <family val="2"/>
    </font>
    <font>
      <sz val="10"/>
      <color rgb="FFD3CFDB"/>
      <name val="Arial"/>
      <family val="2"/>
    </font>
    <font>
      <sz val="10"/>
      <color rgb="FF4D4C4F"/>
      <name val="Arial"/>
      <family val="2"/>
    </font>
    <font>
      <sz val="10"/>
      <color rgb="FFEADCE7"/>
      <name val="Arial"/>
      <family val="2"/>
    </font>
    <font>
      <sz val="10"/>
      <color rgb="FF534F53"/>
      <name val="Arial"/>
      <family val="2"/>
    </font>
    <font>
      <sz val="10"/>
      <color rgb="FF4F3046"/>
      <name val="Arial"/>
      <family val="2"/>
    </font>
    <font>
      <sz val="10"/>
      <color rgb="FFD3CBD1"/>
      <name val="Arial"/>
      <family val="2"/>
    </font>
    <font>
      <sz val="10"/>
      <color rgb="FF184231"/>
      <name val="Arial"/>
      <family val="2"/>
    </font>
    <font>
      <sz val="10"/>
      <color rgb="FFC5D0CC"/>
      <name val="Arial"/>
      <family val="2"/>
    </font>
    <font>
      <sz val="10"/>
      <color rgb="FF214B36"/>
      <name val="Arial"/>
      <family val="2"/>
    </font>
    <font>
      <sz val="10"/>
      <color rgb="FFC8D2CD"/>
      <name val="Arial"/>
      <family val="2"/>
    </font>
    <font>
      <sz val="10"/>
      <color rgb="FFF2C8EA"/>
      <name val="Arial"/>
      <family val="2"/>
    </font>
    <font>
      <sz val="10"/>
      <color rgb="FF564A53"/>
      <name val="Arial"/>
      <family val="2"/>
    </font>
    <font>
      <sz val="10"/>
      <color rgb="FFECD4E6"/>
      <name val="Arial"/>
      <family val="2"/>
    </font>
    <font>
      <sz val="10"/>
      <color rgb="FF544D52"/>
      <name val="Arial"/>
      <family val="2"/>
    </font>
    <font>
      <sz val="10"/>
      <color rgb="FF584F36"/>
      <name val="Arial"/>
      <family val="2"/>
    </font>
    <font>
      <sz val="10"/>
      <color rgb="FFD5D3CD"/>
      <name val="Arial"/>
      <family val="2"/>
    </font>
    <font>
      <sz val="10"/>
      <color rgb="FFCAECCE"/>
      <name val="Arial"/>
      <family val="2"/>
    </font>
    <font>
      <sz val="10"/>
      <color rgb="FF4B544C"/>
      <name val="Arial"/>
      <family val="2"/>
    </font>
    <font>
      <sz val="10"/>
      <color rgb="FF40304A"/>
      <name val="Arial"/>
      <family val="2"/>
    </font>
    <font>
      <sz val="10"/>
      <color rgb="FFCFCBD2"/>
      <name val="Arial"/>
      <family val="2"/>
    </font>
    <font>
      <sz val="10"/>
      <color rgb="FFDFD0D7"/>
      <name val="Arial"/>
      <family val="2"/>
    </font>
    <font>
      <sz val="10"/>
      <color rgb="FF504C4E"/>
      <name val="Arial"/>
      <family val="2"/>
    </font>
    <font>
      <sz val="10"/>
      <color rgb="FF2E421B"/>
      <name val="Arial"/>
      <family val="2"/>
    </font>
    <font>
      <sz val="10"/>
      <color rgb="FFCBD0C6"/>
      <name val="Arial"/>
      <family val="2"/>
    </font>
    <font>
      <sz val="10"/>
      <color rgb="FF000000"/>
      <name val="Arial"/>
      <family val="2"/>
    </font>
  </fonts>
  <fills count="129">
    <fill>
      <patternFill patternType="none"/>
    </fill>
    <fill>
      <patternFill patternType="gray125"/>
    </fill>
    <fill>
      <patternFill patternType="solid">
        <fgColor rgb="FFEF3340"/>
        <bgColor indexed="64"/>
      </patternFill>
    </fill>
    <fill>
      <patternFill patternType="solid">
        <fgColor rgb="FF781A20"/>
        <bgColor indexed="64"/>
      </patternFill>
    </fill>
    <fill>
      <patternFill patternType="solid">
        <fgColor rgb="FF37373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4C4C4C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9DE3C4"/>
        <bgColor indexed="64"/>
      </patternFill>
    </fill>
    <fill>
      <patternFill patternType="solid">
        <fgColor rgb="FF374F45"/>
        <bgColor indexed="64"/>
      </patternFill>
    </fill>
    <fill>
      <patternFill patternType="solid">
        <fgColor rgb="FFC26292"/>
        <bgColor indexed="64"/>
      </patternFill>
    </fill>
    <fill>
      <patternFill patternType="solid">
        <fgColor rgb="FFF3E0E9"/>
        <bgColor indexed="64"/>
      </patternFill>
    </fill>
    <fill>
      <patternFill patternType="solid">
        <fgColor rgb="FF2E9A11"/>
        <bgColor indexed="64"/>
      </patternFill>
    </fill>
    <fill>
      <patternFill patternType="solid">
        <fgColor rgb="FFD5EBCF"/>
        <bgColor indexed="64"/>
      </patternFill>
    </fill>
    <fill>
      <patternFill patternType="solid">
        <fgColor rgb="FF5D1B0E"/>
        <bgColor indexed="64"/>
      </patternFill>
    </fill>
    <fill>
      <patternFill patternType="solid">
        <fgColor rgb="FFDFD1CF"/>
        <bgColor indexed="64"/>
      </patternFill>
    </fill>
    <fill>
      <patternFill patternType="solid">
        <fgColor rgb="FF6F80BC"/>
        <bgColor indexed="64"/>
      </patternFill>
    </fill>
    <fill>
      <patternFill patternType="solid">
        <fgColor rgb="FFE2E6F2"/>
        <bgColor indexed="64"/>
      </patternFill>
    </fill>
    <fill>
      <patternFill patternType="solid">
        <fgColor rgb="FFD24256"/>
        <bgColor indexed="64"/>
      </patternFill>
    </fill>
    <fill>
      <patternFill patternType="solid">
        <fgColor rgb="FFF6D9DD"/>
        <bgColor indexed="64"/>
      </patternFill>
    </fill>
    <fill>
      <patternFill patternType="solid">
        <fgColor rgb="FF332024"/>
        <bgColor indexed="64"/>
      </patternFill>
    </fill>
    <fill>
      <patternFill patternType="solid">
        <fgColor rgb="FFD6D2D3"/>
        <bgColor indexed="64"/>
      </patternFill>
    </fill>
    <fill>
      <patternFill patternType="solid">
        <fgColor rgb="FF393399"/>
        <bgColor indexed="64"/>
      </patternFill>
    </fill>
    <fill>
      <patternFill patternType="solid">
        <fgColor rgb="FFD7D6EB"/>
        <bgColor indexed="64"/>
      </patternFill>
    </fill>
    <fill>
      <patternFill patternType="solid">
        <fgColor rgb="FF74A47B"/>
        <bgColor indexed="64"/>
      </patternFill>
    </fill>
    <fill>
      <patternFill patternType="solid">
        <fgColor rgb="FF29392B"/>
        <bgColor indexed="64"/>
      </patternFill>
    </fill>
    <fill>
      <patternFill patternType="solid">
        <fgColor rgb="FF5F65FD"/>
        <bgColor indexed="64"/>
      </patternFill>
    </fill>
    <fill>
      <patternFill patternType="solid">
        <fgColor rgb="FFDFE0FF"/>
        <bgColor indexed="64"/>
      </patternFill>
    </fill>
    <fill>
      <patternFill patternType="solid">
        <fgColor rgb="FF61E217"/>
        <bgColor indexed="64"/>
      </patternFill>
    </fill>
    <fill>
      <patternFill patternType="solid">
        <fgColor rgb="FF224F08"/>
        <bgColor indexed="64"/>
      </patternFill>
    </fill>
    <fill>
      <patternFill patternType="solid">
        <fgColor rgb="FFAB58A6"/>
        <bgColor indexed="64"/>
      </patternFill>
    </fill>
    <fill>
      <patternFill patternType="solid">
        <fgColor rgb="FFEEDEED"/>
        <bgColor indexed="64"/>
      </patternFill>
    </fill>
    <fill>
      <patternFill patternType="solid">
        <fgColor rgb="FF3FCFE0"/>
        <bgColor indexed="64"/>
      </patternFill>
    </fill>
    <fill>
      <patternFill patternType="solid">
        <fgColor rgb="FF16484E"/>
        <bgColor indexed="64"/>
      </patternFill>
    </fill>
    <fill>
      <patternFill patternType="solid">
        <fgColor rgb="FFC990B9"/>
        <bgColor indexed="64"/>
      </patternFill>
    </fill>
    <fill>
      <patternFill patternType="solid">
        <fgColor rgb="FF463241"/>
        <bgColor indexed="64"/>
      </patternFill>
    </fill>
    <fill>
      <patternFill patternType="solid">
        <fgColor rgb="FFCD6F1B"/>
        <bgColor indexed="64"/>
      </patternFill>
    </fill>
    <fill>
      <patternFill patternType="solid">
        <fgColor rgb="FFF5E2D1"/>
        <bgColor indexed="64"/>
      </patternFill>
    </fill>
    <fill>
      <patternFill patternType="solid">
        <fgColor rgb="FF45810D"/>
        <bgColor indexed="64"/>
      </patternFill>
    </fill>
    <fill>
      <patternFill patternType="solid">
        <fgColor rgb="FFDAE6CF"/>
        <bgColor indexed="64"/>
      </patternFill>
    </fill>
    <fill>
      <patternFill patternType="solid">
        <fgColor rgb="FFF4D4A7"/>
        <bgColor indexed="64"/>
      </patternFill>
    </fill>
    <fill>
      <patternFill patternType="solid">
        <fgColor rgb="FF554A3A"/>
        <bgColor indexed="64"/>
      </patternFill>
    </fill>
    <fill>
      <patternFill patternType="solid">
        <fgColor rgb="FFF474DC"/>
        <bgColor indexed="64"/>
      </patternFill>
    </fill>
    <fill>
      <patternFill patternType="solid">
        <fgColor rgb="FF55294D"/>
        <bgColor indexed="64"/>
      </patternFill>
    </fill>
    <fill>
      <patternFill patternType="solid">
        <fgColor rgb="FF8C3807"/>
        <bgColor indexed="64"/>
      </patternFill>
    </fill>
    <fill>
      <patternFill patternType="solid">
        <fgColor rgb="FFE8D7CD"/>
        <bgColor indexed="64"/>
      </patternFill>
    </fill>
    <fill>
      <patternFill patternType="solid">
        <fgColor rgb="FFF6F507"/>
        <bgColor indexed="64"/>
      </patternFill>
    </fill>
    <fill>
      <patternFill patternType="solid">
        <fgColor rgb="FF565602"/>
        <bgColor indexed="64"/>
      </patternFill>
    </fill>
    <fill>
      <patternFill patternType="solid">
        <fgColor rgb="FFA99B8B"/>
        <bgColor indexed="64"/>
      </patternFill>
    </fill>
    <fill>
      <patternFill patternType="solid">
        <fgColor rgb="FF3B3631"/>
        <bgColor indexed="64"/>
      </patternFill>
    </fill>
    <fill>
      <patternFill patternType="solid">
        <fgColor rgb="FF93C660"/>
        <bgColor indexed="64"/>
      </patternFill>
    </fill>
    <fill>
      <patternFill patternType="solid">
        <fgColor rgb="FF334522"/>
        <bgColor indexed="64"/>
      </patternFill>
    </fill>
    <fill>
      <patternFill patternType="solid">
        <fgColor rgb="FF361276"/>
        <bgColor indexed="64"/>
      </patternFill>
    </fill>
    <fill>
      <patternFill patternType="solid">
        <fgColor rgb="FFD7D0E4"/>
        <bgColor indexed="64"/>
      </patternFill>
    </fill>
    <fill>
      <patternFill patternType="solid">
        <fgColor rgb="FFEFBA8E"/>
        <bgColor indexed="64"/>
      </patternFill>
    </fill>
    <fill>
      <patternFill patternType="solid">
        <fgColor rgb="FF544132"/>
        <bgColor indexed="64"/>
      </patternFill>
    </fill>
    <fill>
      <patternFill patternType="solid">
        <fgColor rgb="FF517CB9"/>
        <bgColor indexed="64"/>
      </patternFill>
    </fill>
    <fill>
      <patternFill patternType="solid">
        <fgColor rgb="FFDCE5F1"/>
        <bgColor indexed="64"/>
      </patternFill>
    </fill>
    <fill>
      <patternFill patternType="solid">
        <fgColor rgb="FF47B06E"/>
        <bgColor indexed="64"/>
      </patternFill>
    </fill>
    <fill>
      <patternFill patternType="solid">
        <fgColor rgb="FFDAEFE2"/>
        <bgColor indexed="64"/>
      </patternFill>
    </fill>
    <fill>
      <patternFill patternType="solid">
        <fgColor rgb="FF8F9DF6"/>
        <bgColor indexed="64"/>
      </patternFill>
    </fill>
    <fill>
      <patternFill patternType="solid">
        <fgColor rgb="FF323756"/>
        <bgColor indexed="64"/>
      </patternFill>
    </fill>
    <fill>
      <patternFill patternType="solid">
        <fgColor rgb="FF26A164"/>
        <bgColor indexed="64"/>
      </patternFill>
    </fill>
    <fill>
      <patternFill patternType="solid">
        <fgColor rgb="FFD4ECE0"/>
        <bgColor indexed="64"/>
      </patternFill>
    </fill>
    <fill>
      <patternFill patternType="solid">
        <fgColor rgb="FFE3C861"/>
        <bgColor indexed="64"/>
      </patternFill>
    </fill>
    <fill>
      <patternFill patternType="solid">
        <fgColor rgb="FF4F4622"/>
        <bgColor indexed="64"/>
      </patternFill>
    </fill>
    <fill>
      <patternFill patternType="solid">
        <fgColor rgb="FF6536C3"/>
        <bgColor indexed="64"/>
      </patternFill>
    </fill>
    <fill>
      <patternFill patternType="solid">
        <fgColor rgb="FFE0D7F3"/>
        <bgColor indexed="64"/>
      </patternFill>
    </fill>
    <fill>
      <patternFill patternType="solid">
        <fgColor rgb="FFA34284"/>
        <bgColor indexed="64"/>
      </patternFill>
    </fill>
    <fill>
      <patternFill patternType="solid">
        <fgColor rgb="FFEDD9E6"/>
        <bgColor indexed="64"/>
      </patternFill>
    </fill>
    <fill>
      <patternFill patternType="solid">
        <fgColor rgb="FF33E838"/>
        <bgColor indexed="64"/>
      </patternFill>
    </fill>
    <fill>
      <patternFill patternType="solid">
        <fgColor rgb="FF125114"/>
        <bgColor indexed="64"/>
      </patternFill>
    </fill>
    <fill>
      <patternFill patternType="solid">
        <fgColor rgb="FF317B0F"/>
        <bgColor indexed="64"/>
      </patternFill>
    </fill>
    <fill>
      <patternFill patternType="solid">
        <fgColor rgb="FFD6E5CF"/>
        <bgColor indexed="64"/>
      </patternFill>
    </fill>
    <fill>
      <patternFill patternType="solid">
        <fgColor rgb="FF1C308F"/>
        <bgColor indexed="64"/>
      </patternFill>
    </fill>
    <fill>
      <patternFill patternType="solid">
        <fgColor rgb="FFD2D6E9"/>
        <bgColor indexed="64"/>
      </patternFill>
    </fill>
    <fill>
      <patternFill patternType="solid">
        <fgColor rgb="FFF5144E"/>
        <bgColor indexed="64"/>
      </patternFill>
    </fill>
    <fill>
      <patternFill patternType="solid">
        <fgColor rgb="FFFDD0DC"/>
        <bgColor indexed="64"/>
      </patternFill>
    </fill>
    <fill>
      <patternFill patternType="solid">
        <fgColor rgb="FFF2065F"/>
        <bgColor indexed="64"/>
      </patternFill>
    </fill>
    <fill>
      <patternFill patternType="solid">
        <fgColor rgb="FFFCCDDF"/>
        <bgColor indexed="64"/>
      </patternFill>
    </fill>
    <fill>
      <patternFill patternType="solid">
        <fgColor rgb="FF1A1BF8"/>
        <bgColor indexed="64"/>
      </patternFill>
    </fill>
    <fill>
      <patternFill patternType="solid">
        <fgColor rgb="FFD1D1FE"/>
        <bgColor indexed="64"/>
      </patternFill>
    </fill>
    <fill>
      <patternFill patternType="solid">
        <fgColor rgb="FF1EF35D"/>
        <bgColor indexed="64"/>
      </patternFill>
    </fill>
    <fill>
      <patternFill patternType="solid">
        <fgColor rgb="FF0A5521"/>
        <bgColor indexed="64"/>
      </patternFill>
    </fill>
    <fill>
      <patternFill patternType="solid">
        <fgColor rgb="FF4F3F70"/>
        <bgColor indexed="64"/>
      </patternFill>
    </fill>
    <fill>
      <patternFill patternType="solid">
        <fgColor rgb="FFDCD9E2"/>
        <bgColor indexed="64"/>
      </patternFill>
    </fill>
    <fill>
      <patternFill patternType="solid">
        <fgColor rgb="FFAA759E"/>
        <bgColor indexed="64"/>
      </patternFill>
    </fill>
    <fill>
      <patternFill patternType="solid">
        <fgColor rgb="FFEEE3EC"/>
        <bgColor indexed="64"/>
      </patternFill>
    </fill>
    <fill>
      <patternFill patternType="solid">
        <fgColor rgb="FFE38AC8"/>
        <bgColor indexed="64"/>
      </patternFill>
    </fill>
    <fill>
      <patternFill patternType="solid">
        <fgColor rgb="FF4F3046"/>
        <bgColor indexed="64"/>
      </patternFill>
    </fill>
    <fill>
      <patternFill patternType="solid">
        <fgColor rgb="FF44BC8D"/>
        <bgColor indexed="64"/>
      </patternFill>
    </fill>
    <fill>
      <patternFill patternType="solid">
        <fgColor rgb="FF184231"/>
        <bgColor indexed="64"/>
      </patternFill>
    </fill>
    <fill>
      <patternFill patternType="solid">
        <fgColor rgb="FF5DD799"/>
        <bgColor indexed="64"/>
      </patternFill>
    </fill>
    <fill>
      <patternFill patternType="solid">
        <fgColor rgb="FF214B36"/>
        <bgColor indexed="64"/>
      </patternFill>
    </fill>
    <fill>
      <patternFill patternType="solid">
        <fgColor rgb="FFCC24A9"/>
        <bgColor indexed="64"/>
      </patternFill>
    </fill>
    <fill>
      <patternFill patternType="solid">
        <fgColor rgb="FFF5D3EE"/>
        <bgColor indexed="64"/>
      </patternFill>
    </fill>
    <fill>
      <patternFill patternType="solid">
        <fgColor rgb="FFB35299"/>
        <bgColor indexed="64"/>
      </patternFill>
    </fill>
    <fill>
      <patternFill patternType="solid">
        <fgColor rgb="FFF0DCEB"/>
        <bgColor indexed="64"/>
      </patternFill>
    </fill>
    <fill>
      <patternFill patternType="solid">
        <fgColor rgb="FFFAE199"/>
        <bgColor indexed="64"/>
      </patternFill>
    </fill>
    <fill>
      <patternFill patternType="solid">
        <fgColor rgb="FF584F36"/>
        <bgColor indexed="64"/>
      </patternFill>
    </fill>
    <fill>
      <patternFill patternType="solid">
        <fgColor rgb="FF2DB13C"/>
        <bgColor indexed="64"/>
      </patternFill>
    </fill>
    <fill>
      <patternFill patternType="solid">
        <fgColor rgb="FFD5EFD8"/>
        <bgColor indexed="64"/>
      </patternFill>
    </fill>
    <fill>
      <patternFill patternType="solid">
        <fgColor rgb="FFB789D2"/>
        <bgColor indexed="64"/>
      </patternFill>
    </fill>
    <fill>
      <patternFill patternType="solid">
        <fgColor rgb="FF40304A"/>
        <bgColor indexed="64"/>
      </patternFill>
    </fill>
    <fill>
      <patternFill patternType="solid">
        <fgColor rgb="FF7E4160"/>
        <bgColor indexed="64"/>
      </patternFill>
    </fill>
    <fill>
      <patternFill patternType="solid">
        <fgColor rgb="FFE5D9DF"/>
        <bgColor indexed="64"/>
      </patternFill>
    </fill>
    <fill>
      <patternFill patternType="solid">
        <fgColor rgb="FF84BC4E"/>
        <bgColor indexed="64"/>
      </patternFill>
    </fill>
    <fill>
      <patternFill patternType="solid">
        <fgColor rgb="FF2E421B"/>
        <bgColor indexed="64"/>
      </patternFill>
    </fill>
    <fill>
      <patternFill patternType="solid">
        <fgColor rgb="FF2C060E"/>
        <bgColor indexed="64"/>
      </patternFill>
    </fill>
    <fill>
      <patternFill patternType="solid">
        <fgColor rgb="FFEA868F"/>
        <bgColor indexed="64"/>
      </patternFill>
    </fill>
    <fill>
      <patternFill patternType="solid">
        <fgColor rgb="FF332701"/>
        <bgColor indexed="64"/>
      </patternFill>
    </fill>
    <fill>
      <patternFill patternType="solid">
        <fgColor rgb="FFFFDA6A"/>
        <bgColor indexed="64"/>
      </patternFill>
    </fill>
    <fill>
      <patternFill patternType="solid">
        <fgColor rgb="FF051B11"/>
        <bgColor indexed="64"/>
      </patternFill>
    </fill>
    <fill>
      <patternFill patternType="solid">
        <fgColor rgb="FF75A85F"/>
        <bgColor indexed="64"/>
      </patternFill>
    </fill>
    <fill>
      <patternFill patternType="solid">
        <fgColor rgb="FF031B33"/>
        <bgColor indexed="64"/>
      </patternFill>
    </fill>
    <fill>
      <patternFill patternType="solid">
        <fgColor rgb="FF6EA8FE"/>
        <bgColor indexed="64"/>
      </patternFill>
    </fill>
    <fill>
      <patternFill patternType="solid">
        <fgColor rgb="FF161719"/>
        <bgColor indexed="64"/>
      </patternFill>
    </fill>
    <fill>
      <patternFill patternType="solid">
        <fgColor rgb="FFA7ACB1"/>
        <bgColor indexed="64"/>
      </patternFill>
    </fill>
    <fill>
      <patternFill patternType="solid">
        <fgColor rgb="FFF8D7DA"/>
        <bgColor indexed="64"/>
      </patternFill>
    </fill>
    <fill>
      <patternFill patternType="solid">
        <fgColor rgb="FF58151C"/>
        <bgColor indexed="64"/>
      </patternFill>
    </fill>
    <fill>
      <patternFill patternType="solid">
        <fgColor rgb="FFFFF3CD"/>
        <bgColor indexed="64"/>
      </patternFill>
    </fill>
    <fill>
      <patternFill patternType="solid">
        <fgColor rgb="FF664D03"/>
        <bgColor indexed="64"/>
      </patternFill>
    </fill>
    <fill>
      <patternFill patternType="solid">
        <fgColor rgb="FFD1E7DD"/>
        <bgColor indexed="64"/>
      </patternFill>
    </fill>
    <fill>
      <patternFill patternType="solid">
        <fgColor rgb="FF0A3622"/>
        <bgColor indexed="64"/>
      </patternFill>
    </fill>
    <fill>
      <patternFill patternType="solid">
        <fgColor rgb="FFCFE2FF"/>
        <bgColor indexed="64"/>
      </patternFill>
    </fill>
    <fill>
      <patternFill patternType="solid">
        <fgColor rgb="FFE2E3E5"/>
        <bgColor indexed="64"/>
      </patternFill>
    </fill>
    <fill>
      <patternFill patternType="solid">
        <fgColor rgb="FF2B2F32"/>
        <bgColor indexed="64"/>
      </patternFill>
    </fill>
    <fill>
      <patternFill patternType="solid">
        <fgColor rgb="FF052C6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0">
    <xf numFmtId="0" fontId="0" fillId="0" borderId="0" xfId="0"/>
    <xf numFmtId="164" fontId="0" fillId="0" borderId="0" xfId="0" applyNumberFormat="1"/>
    <xf numFmtId="0" fontId="1" fillId="2" borderId="0" xfId="0" applyFont="1" applyFill="1"/>
    <xf numFmtId="0" fontId="1" fillId="3" borderId="0" xfId="0" applyFont="1" applyFill="1"/>
    <xf numFmtId="0" fontId="1" fillId="4" borderId="0" xfId="0" applyFont="1" applyFill="1"/>
    <xf numFmtId="0" fontId="1" fillId="5" borderId="0" xfId="0" applyFont="1" applyFill="1"/>
    <xf numFmtId="0" fontId="1" fillId="6" borderId="0" xfId="0" applyFont="1" applyFill="1"/>
    <xf numFmtId="0" fontId="2" fillId="8" borderId="0" xfId="0" applyFont="1" applyFill="1"/>
    <xf numFmtId="0" fontId="3" fillId="9" borderId="0" xfId="0" applyFont="1" applyFill="1"/>
    <xf numFmtId="0" fontId="4" fillId="7" borderId="0" xfId="0" applyFont="1" applyFill="1"/>
    <xf numFmtId="0" fontId="5" fillId="10" borderId="0" xfId="0" applyFont="1" applyFill="1"/>
    <xf numFmtId="0" fontId="6" fillId="11" borderId="0" xfId="0" applyFont="1" applyFill="1"/>
    <xf numFmtId="0" fontId="7" fillId="12" borderId="0" xfId="0" applyFont="1" applyFill="1"/>
    <xf numFmtId="0" fontId="8" fillId="13" borderId="0" xfId="0" applyFont="1" applyFill="1"/>
    <xf numFmtId="0" fontId="9" fillId="14" borderId="0" xfId="0" applyFont="1" applyFill="1"/>
    <xf numFmtId="0" fontId="10" fillId="15" borderId="0" xfId="0" applyFont="1" applyFill="1"/>
    <xf numFmtId="0" fontId="11" fillId="16" borderId="0" xfId="0" applyFont="1" applyFill="1"/>
    <xf numFmtId="0" fontId="12" fillId="17" borderId="0" xfId="0" applyFont="1" applyFill="1"/>
    <xf numFmtId="0" fontId="13" fillId="18" borderId="0" xfId="0" applyFont="1" applyFill="1"/>
    <xf numFmtId="0" fontId="14" fillId="19" borderId="0" xfId="0" applyFont="1" applyFill="1"/>
    <xf numFmtId="0" fontId="15" fillId="20" borderId="0" xfId="0" applyFont="1" applyFill="1"/>
    <xf numFmtId="0" fontId="16" fillId="21" borderId="0" xfId="0" applyFont="1" applyFill="1"/>
    <xf numFmtId="0" fontId="17" fillId="22" borderId="0" xfId="0" applyFont="1" applyFill="1"/>
    <xf numFmtId="0" fontId="18" fillId="23" borderId="0" xfId="0" applyFont="1" applyFill="1"/>
    <xf numFmtId="0" fontId="19" fillId="24" borderId="0" xfId="0" applyFont="1" applyFill="1"/>
    <xf numFmtId="0" fontId="20" fillId="25" borderId="0" xfId="0" applyFont="1" applyFill="1"/>
    <xf numFmtId="0" fontId="21" fillId="26" borderId="0" xfId="0" applyFont="1" applyFill="1"/>
    <xf numFmtId="0" fontId="22" fillId="27" borderId="0" xfId="0" applyFont="1" applyFill="1"/>
    <xf numFmtId="0" fontId="23" fillId="28" borderId="0" xfId="0" applyFont="1" applyFill="1"/>
    <xf numFmtId="0" fontId="24" fillId="29" borderId="0" xfId="0" applyFont="1" applyFill="1"/>
    <xf numFmtId="0" fontId="25" fillId="30" borderId="0" xfId="0" applyFont="1" applyFill="1"/>
    <xf numFmtId="0" fontId="26" fillId="31" borderId="0" xfId="0" applyFont="1" applyFill="1"/>
    <xf numFmtId="0" fontId="27" fillId="32" borderId="0" xfId="0" applyFont="1" applyFill="1"/>
    <xf numFmtId="0" fontId="28" fillId="33" borderId="0" xfId="0" applyFont="1" applyFill="1"/>
    <xf numFmtId="0" fontId="29" fillId="34" borderId="0" xfId="0" applyFont="1" applyFill="1"/>
    <xf numFmtId="0" fontId="30" fillId="35" borderId="0" xfId="0" applyFont="1" applyFill="1"/>
    <xf numFmtId="0" fontId="31" fillId="36" borderId="0" xfId="0" applyFont="1" applyFill="1"/>
    <xf numFmtId="0" fontId="32" fillId="37" borderId="0" xfId="0" applyFont="1" applyFill="1"/>
    <xf numFmtId="0" fontId="33" fillId="38" borderId="0" xfId="0" applyFont="1" applyFill="1"/>
    <xf numFmtId="0" fontId="34" fillId="39" borderId="0" xfId="0" applyFont="1" applyFill="1"/>
    <xf numFmtId="0" fontId="35" fillId="40" borderId="0" xfId="0" applyFont="1" applyFill="1"/>
    <xf numFmtId="0" fontId="36" fillId="41" borderId="0" xfId="0" applyFont="1" applyFill="1"/>
    <xf numFmtId="0" fontId="37" fillId="42" borderId="0" xfId="0" applyFont="1" applyFill="1"/>
    <xf numFmtId="0" fontId="38" fillId="43" borderId="0" xfId="0" applyFont="1" applyFill="1"/>
    <xf numFmtId="0" fontId="39" fillId="44" borderId="0" xfId="0" applyFont="1" applyFill="1"/>
    <xf numFmtId="0" fontId="40" fillId="45" borderId="0" xfId="0" applyFont="1" applyFill="1"/>
    <xf numFmtId="0" fontId="41" fillId="46" borderId="0" xfId="0" applyFont="1" applyFill="1"/>
    <xf numFmtId="0" fontId="42" fillId="47" borderId="0" xfId="0" applyFont="1" applyFill="1"/>
    <xf numFmtId="0" fontId="43" fillId="48" borderId="0" xfId="0" applyFont="1" applyFill="1"/>
    <xf numFmtId="0" fontId="44" fillId="49" borderId="0" xfId="0" applyFont="1" applyFill="1"/>
    <xf numFmtId="0" fontId="45" fillId="50" borderId="0" xfId="0" applyFont="1" applyFill="1"/>
    <xf numFmtId="0" fontId="46" fillId="51" borderId="0" xfId="0" applyFont="1" applyFill="1"/>
    <xf numFmtId="0" fontId="47" fillId="52" borderId="0" xfId="0" applyFont="1" applyFill="1"/>
    <xf numFmtId="0" fontId="48" fillId="53" borderId="0" xfId="0" applyFont="1" applyFill="1"/>
    <xf numFmtId="0" fontId="49" fillId="54" borderId="0" xfId="0" applyFont="1" applyFill="1"/>
    <xf numFmtId="0" fontId="50" fillId="55" borderId="0" xfId="0" applyFont="1" applyFill="1"/>
    <xf numFmtId="0" fontId="51" fillId="56" borderId="0" xfId="0" applyFont="1" applyFill="1"/>
    <xf numFmtId="0" fontId="52" fillId="57" borderId="0" xfId="0" applyFont="1" applyFill="1"/>
    <xf numFmtId="0" fontId="53" fillId="58" borderId="0" xfId="0" applyFont="1" applyFill="1"/>
    <xf numFmtId="0" fontId="54" fillId="59" borderId="0" xfId="0" applyFont="1" applyFill="1"/>
    <xf numFmtId="0" fontId="55" fillId="60" borderId="0" xfId="0" applyFont="1" applyFill="1"/>
    <xf numFmtId="0" fontId="56" fillId="61" borderId="0" xfId="0" applyFont="1" applyFill="1"/>
    <xf numFmtId="0" fontId="57" fillId="62" borderId="0" xfId="0" applyFont="1" applyFill="1"/>
    <xf numFmtId="0" fontId="58" fillId="63" borderId="0" xfId="0" applyFont="1" applyFill="1"/>
    <xf numFmtId="0" fontId="59" fillId="64" borderId="0" xfId="0" applyFont="1" applyFill="1"/>
    <xf numFmtId="0" fontId="60" fillId="65" borderId="0" xfId="0" applyFont="1" applyFill="1"/>
    <xf numFmtId="0" fontId="61" fillId="66" borderId="0" xfId="0" applyFont="1" applyFill="1"/>
    <xf numFmtId="0" fontId="62" fillId="67" borderId="0" xfId="0" applyFont="1" applyFill="1"/>
    <xf numFmtId="0" fontId="63" fillId="68" borderId="0" xfId="0" applyFont="1" applyFill="1"/>
    <xf numFmtId="0" fontId="64" fillId="69" borderId="0" xfId="0" applyFont="1" applyFill="1"/>
    <xf numFmtId="0" fontId="65" fillId="70" borderId="0" xfId="0" applyFont="1" applyFill="1"/>
    <xf numFmtId="0" fontId="66" fillId="71" borderId="0" xfId="0" applyFont="1" applyFill="1"/>
    <xf numFmtId="0" fontId="67" fillId="72" borderId="0" xfId="0" applyFont="1" applyFill="1"/>
    <xf numFmtId="0" fontId="68" fillId="73" borderId="0" xfId="0" applyFont="1" applyFill="1"/>
    <xf numFmtId="0" fontId="69" fillId="74" borderId="0" xfId="0" applyFont="1" applyFill="1"/>
    <xf numFmtId="0" fontId="70" fillId="75" borderId="0" xfId="0" applyFont="1" applyFill="1"/>
    <xf numFmtId="0" fontId="71" fillId="76" borderId="0" xfId="0" applyFont="1" applyFill="1"/>
    <xf numFmtId="0" fontId="72" fillId="77" borderId="0" xfId="0" applyFont="1" applyFill="1"/>
    <xf numFmtId="0" fontId="73" fillId="78" borderId="0" xfId="0" applyFont="1" applyFill="1"/>
    <xf numFmtId="0" fontId="74" fillId="79" borderId="0" xfId="0" applyFont="1" applyFill="1"/>
    <xf numFmtId="0" fontId="75" fillId="80" borderId="0" xfId="0" applyFont="1" applyFill="1"/>
    <xf numFmtId="0" fontId="76" fillId="81" borderId="0" xfId="0" applyFont="1" applyFill="1"/>
    <xf numFmtId="0" fontId="77" fillId="82" borderId="0" xfId="0" applyFont="1" applyFill="1"/>
    <xf numFmtId="0" fontId="78" fillId="83" borderId="0" xfId="0" applyFont="1" applyFill="1"/>
    <xf numFmtId="0" fontId="79" fillId="84" borderId="0" xfId="0" applyFont="1" applyFill="1"/>
    <xf numFmtId="0" fontId="80" fillId="85" borderId="0" xfId="0" applyFont="1" applyFill="1"/>
    <xf numFmtId="0" fontId="81" fillId="86" borderId="0" xfId="0" applyFont="1" applyFill="1"/>
    <xf numFmtId="0" fontId="82" fillId="87" borderId="0" xfId="0" applyFont="1" applyFill="1"/>
    <xf numFmtId="0" fontId="83" fillId="88" borderId="0" xfId="0" applyFont="1" applyFill="1"/>
    <xf numFmtId="0" fontId="84" fillId="89" borderId="0" xfId="0" applyFont="1" applyFill="1"/>
    <xf numFmtId="0" fontId="85" fillId="90" borderId="0" xfId="0" applyFont="1" applyFill="1"/>
    <xf numFmtId="0" fontId="86" fillId="91" borderId="0" xfId="0" applyFont="1" applyFill="1"/>
    <xf numFmtId="0" fontId="87" fillId="92" borderId="0" xfId="0" applyFont="1" applyFill="1"/>
    <xf numFmtId="0" fontId="88" fillId="93" borderId="0" xfId="0" applyFont="1" applyFill="1"/>
    <xf numFmtId="0" fontId="89" fillId="94" borderId="0" xfId="0" applyFont="1" applyFill="1"/>
    <xf numFmtId="0" fontId="90" fillId="95" borderId="0" xfId="0" applyFont="1" applyFill="1"/>
    <xf numFmtId="0" fontId="91" fillId="96" borderId="0" xfId="0" applyFont="1" applyFill="1"/>
    <xf numFmtId="0" fontId="92" fillId="97" borderId="0" xfId="0" applyFont="1" applyFill="1"/>
    <xf numFmtId="0" fontId="93" fillId="98" borderId="0" xfId="0" applyFont="1" applyFill="1"/>
    <xf numFmtId="0" fontId="94" fillId="99" borderId="0" xfId="0" applyFont="1" applyFill="1"/>
    <xf numFmtId="0" fontId="95" fillId="100" borderId="0" xfId="0" applyFont="1" applyFill="1"/>
    <xf numFmtId="0" fontId="96" fillId="101" borderId="0" xfId="0" applyFont="1" applyFill="1"/>
    <xf numFmtId="0" fontId="97" fillId="102" borderId="0" xfId="0" applyFont="1" applyFill="1"/>
    <xf numFmtId="0" fontId="98" fillId="103" borderId="0" xfId="0" applyFont="1" applyFill="1"/>
    <xf numFmtId="0" fontId="99" fillId="104" borderId="0" xfId="0" applyFont="1" applyFill="1"/>
    <xf numFmtId="0" fontId="100" fillId="105" borderId="0" xfId="0" applyFont="1" applyFill="1"/>
    <xf numFmtId="0" fontId="101" fillId="106" borderId="0" xfId="0" applyFont="1" applyFill="1"/>
    <xf numFmtId="0" fontId="102" fillId="107" borderId="0" xfId="0" applyFont="1" applyFill="1"/>
    <xf numFmtId="0" fontId="103" fillId="108" borderId="0" xfId="0" applyFont="1" applyFill="1"/>
    <xf numFmtId="0" fontId="1" fillId="109" borderId="0" xfId="0" applyFont="1" applyFill="1"/>
    <xf numFmtId="0" fontId="104" fillId="110" borderId="0" xfId="0" applyFont="1" applyFill="1"/>
    <xf numFmtId="0" fontId="1" fillId="111" borderId="0" xfId="0" applyFont="1" applyFill="1"/>
    <xf numFmtId="0" fontId="104" fillId="112" borderId="0" xfId="0" applyFont="1" applyFill="1"/>
    <xf numFmtId="0" fontId="1" fillId="113" borderId="0" xfId="0" applyFont="1" applyFill="1"/>
    <xf numFmtId="0" fontId="104" fillId="114" borderId="0" xfId="0" applyFont="1" applyFill="1"/>
    <xf numFmtId="0" fontId="1" fillId="115" borderId="0" xfId="0" applyFont="1" applyFill="1"/>
    <xf numFmtId="0" fontId="104" fillId="116" borderId="0" xfId="0" applyFont="1" applyFill="1"/>
    <xf numFmtId="0" fontId="1" fillId="117" borderId="0" xfId="0" applyFont="1" applyFill="1"/>
    <xf numFmtId="0" fontId="104" fillId="118" borderId="0" xfId="0" applyFont="1" applyFill="1"/>
    <xf numFmtId="0" fontId="1" fillId="109" borderId="0" xfId="0" applyFont="1" applyFill="1" applyAlignment="1">
      <alignment horizontal="left"/>
    </xf>
    <xf numFmtId="0" fontId="104" fillId="110" borderId="0" xfId="0" applyFont="1" applyFill="1" applyAlignment="1">
      <alignment horizontal="left"/>
    </xf>
    <xf numFmtId="0" fontId="1" fillId="111" borderId="0" xfId="0" applyFont="1" applyFill="1" applyAlignment="1">
      <alignment horizontal="left"/>
    </xf>
    <xf numFmtId="0" fontId="104" fillId="112" borderId="0" xfId="0" applyFont="1" applyFill="1" applyAlignment="1">
      <alignment horizontal="left"/>
    </xf>
    <xf numFmtId="0" fontId="1" fillId="113" borderId="0" xfId="0" applyFont="1" applyFill="1" applyAlignment="1">
      <alignment horizontal="left"/>
    </xf>
    <xf numFmtId="0" fontId="104" fillId="114" borderId="0" xfId="0" applyFont="1" applyFill="1" applyAlignment="1">
      <alignment horizontal="left"/>
    </xf>
    <xf numFmtId="0" fontId="1" fillId="115" borderId="0" xfId="0" applyFont="1" applyFill="1" applyAlignment="1">
      <alignment horizontal="left"/>
    </xf>
    <xf numFmtId="0" fontId="104" fillId="116" borderId="0" xfId="0" applyFont="1" applyFill="1" applyAlignment="1">
      <alignment horizontal="left"/>
    </xf>
    <xf numFmtId="0" fontId="1" fillId="117" borderId="0" xfId="0" applyFont="1" applyFill="1" applyAlignment="1">
      <alignment horizontal="left"/>
    </xf>
    <xf numFmtId="0" fontId="104" fillId="118" borderId="0" xfId="0" applyFont="1" applyFill="1" applyAlignment="1">
      <alignment horizontal="left"/>
    </xf>
    <xf numFmtId="0" fontId="104" fillId="119" borderId="0" xfId="0" applyFont="1" applyFill="1"/>
    <xf numFmtId="0" fontId="1" fillId="120" borderId="0" xfId="0" applyFont="1" applyFill="1"/>
    <xf numFmtId="0" fontId="104" fillId="121" borderId="0" xfId="0" applyFont="1" applyFill="1"/>
    <xf numFmtId="0" fontId="1" fillId="122" borderId="0" xfId="0" applyFont="1" applyFill="1"/>
    <xf numFmtId="0" fontId="104" fillId="123" borderId="0" xfId="0" applyFont="1" applyFill="1"/>
    <xf numFmtId="0" fontId="1" fillId="124" borderId="0" xfId="0" applyFont="1" applyFill="1"/>
    <xf numFmtId="0" fontId="104" fillId="125" borderId="0" xfId="0" applyFont="1" applyFill="1"/>
    <xf numFmtId="0" fontId="104" fillId="126" borderId="0" xfId="0" applyFont="1" applyFill="1"/>
    <xf numFmtId="0" fontId="1" fillId="127" borderId="0" xfId="0" applyFont="1" applyFill="1"/>
    <xf numFmtId="0" fontId="1" fillId="128" borderId="0" xfId="0" applyFont="1" applyFill="1"/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0F80C0-0CB1-43C8-83EF-35BFE5EC0E81}">
  <sheetPr codeName="Sheet1"/>
  <dimension ref="A1:J52"/>
  <sheetViews>
    <sheetView workbookViewId="0">
      <selection activeCell="F14" sqref="F14"/>
    </sheetView>
  </sheetViews>
  <sheetFormatPr defaultRowHeight="13.2" x14ac:dyDescent="0.25"/>
  <cols>
    <col min="1" max="1" width="10.44140625" customWidth="1"/>
    <col min="2" max="2" width="12.33203125" customWidth="1"/>
    <col min="3" max="3" width="11.88671875" customWidth="1"/>
    <col min="5" max="5" width="9.109375" customWidth="1"/>
    <col min="8" max="9" width="15.33203125" customWidth="1"/>
    <col min="10" max="10" width="15" customWidth="1"/>
  </cols>
  <sheetData>
    <row r="1" spans="1:10" x14ac:dyDescent="0.25">
      <c r="B1">
        <v>0.5</v>
      </c>
    </row>
    <row r="2" spans="1:10" x14ac:dyDescent="0.25">
      <c r="A2" s="2" t="s">
        <v>0</v>
      </c>
      <c r="B2" s="3" t="str" cm="1">
        <f t="array" ref="B2">shade_rgb(B1,A2)</f>
        <v>119.5, 25.5, 32</v>
      </c>
      <c r="C2" s="4" t="str" cm="1">
        <f t="array" ref="C2">long_to_rgb(long_to_grayscale(rgb_to_long(B2)))</f>
        <v>55, 55, 55</v>
      </c>
      <c r="H2" t="s">
        <v>1</v>
      </c>
      <c r="I2" t="s">
        <v>2</v>
      </c>
      <c r="J2" t="s">
        <v>3</v>
      </c>
    </row>
    <row r="3" spans="1:10" x14ac:dyDescent="0.25">
      <c r="H3" s="8" t="str">
        <f ca="1">RANDBETWEEN(0,255)&amp;", "&amp;RANDBETWEEN(0,255)&amp;", "&amp;RANDBETWEEN(0,255)</f>
        <v>6, 43, 187</v>
      </c>
      <c r="I3" s="9" t="str" cm="1">
        <f t="array" aca="1" ref="I3" ca="1">long_to_rgb(contrast_text_monochrome(rgb_to_long(H3)))</f>
        <v>255, 255, 255</v>
      </c>
      <c r="J3" s="10" t="str" cm="1">
        <f t="array" aca="1" ref="J3" ca="1">contrast_text_color(rgb_to_long(H3))</f>
        <v>193, 202, 238</v>
      </c>
    </row>
    <row r="4" spans="1:10" x14ac:dyDescent="0.25">
      <c r="A4" s="5" t="s">
        <v>4</v>
      </c>
      <c r="B4" s="6" t="str" cm="1">
        <f t="array" ref="B4">long_to_rgb(rgb_to_grayscale(A4))</f>
        <v>76, 76, 76</v>
      </c>
      <c r="C4" cm="1">
        <f t="array" ref="C4">grayscale_ratio(rgb_to_long(B4))</f>
        <v>0.29803921568627451</v>
      </c>
      <c r="D4">
        <f>255*C4</f>
        <v>76</v>
      </c>
      <c r="H4" s="11" t="str">
        <f t="shared" ref="H4:H52" ca="1" si="0">RANDBETWEEN(0,255)&amp;", "&amp;RANDBETWEEN(0,255)&amp;", "&amp;RANDBETWEEN(0,255)</f>
        <v>13, 65, 213</v>
      </c>
      <c r="I4" s="7" t="str" cm="1">
        <f t="array" aca="1" ref="I4" ca="1">long_to_rgb(contrast_text_monochrome(rgb_to_long(H4)))</f>
        <v>255, 255, 255</v>
      </c>
      <c r="J4" s="12" t="str" cm="1">
        <f t="array" aca="1" ref="J4" ca="1">contrast_text_color(rgb_to_long(H4))</f>
        <v>194, 208, 244</v>
      </c>
    </row>
    <row r="5" spans="1:10" x14ac:dyDescent="0.25">
      <c r="G5" s="1"/>
      <c r="H5" s="13" t="str">
        <f t="shared" ca="1" si="0"/>
        <v>2, 51, 34</v>
      </c>
      <c r="I5" s="7" t="str" cm="1">
        <f t="array" aca="1" ref="I5" ca="1">long_to_rgb(contrast_text_monochrome(rgb_to_long(H5)))</f>
        <v>255, 255, 255</v>
      </c>
      <c r="J5" s="14" t="str" cm="1">
        <f t="array" aca="1" ref="J5" ca="1">contrast_text_color(rgb_to_long(H5))</f>
        <v>192, 204, 200</v>
      </c>
    </row>
    <row r="6" spans="1:10" x14ac:dyDescent="0.25">
      <c r="H6" s="15" t="str">
        <f t="shared" ca="1" si="0"/>
        <v>210, 177, 93</v>
      </c>
      <c r="I6" s="7" t="str" cm="1">
        <f t="array" aca="1" ref="I6" ca="1">long_to_rgb(contrast_text_monochrome(rgb_to_long(H6)))</f>
        <v>0, 0, 0</v>
      </c>
      <c r="J6" s="16" t="str" cm="1">
        <f t="array" aca="1" ref="J6" ca="1">contrast_text_color(rgb_to_long(H6))</f>
        <v>74, 62, 33</v>
      </c>
    </row>
    <row r="7" spans="1:10" x14ac:dyDescent="0.25">
      <c r="H7" s="17" t="str">
        <f t="shared" ca="1" si="0"/>
        <v>226, 118, 75</v>
      </c>
      <c r="I7" s="7" t="str" cm="1">
        <f t="array" aca="1" ref="I7" ca="1">long_to_rgb(contrast_text_monochrome(rgb_to_long(H7)))</f>
        <v>0, 0, 0</v>
      </c>
      <c r="J7" s="18" t="str" cm="1">
        <f t="array" aca="1" ref="J7" ca="1">contrast_text_color(rgb_to_long(H7))</f>
        <v>79, 41, 26</v>
      </c>
    </row>
    <row r="8" spans="1:10" x14ac:dyDescent="0.25">
      <c r="H8" s="19" t="str">
        <f t="shared" ca="1" si="0"/>
        <v>197, 67, 47</v>
      </c>
      <c r="I8" s="7" t="str" cm="1">
        <f t="array" aca="1" ref="I8" ca="1">long_to_rgb(contrast_text_monochrome(rgb_to_long(H8)))</f>
        <v>255, 255, 255</v>
      </c>
      <c r="J8" s="20" t="str" cm="1">
        <f t="array" aca="1" ref="J8" ca="1">contrast_text_color(rgb_to_long(H8))</f>
        <v>240, 208, 203</v>
      </c>
    </row>
    <row r="9" spans="1:10" x14ac:dyDescent="0.25">
      <c r="H9" s="21" t="str">
        <f t="shared" ca="1" si="0"/>
        <v>97, 51, 161</v>
      </c>
      <c r="I9" s="7" t="str" cm="1">
        <f t="array" aca="1" ref="I9" ca="1">long_to_rgb(contrast_text_monochrome(rgb_to_long(H9)))</f>
        <v>255, 255, 255</v>
      </c>
      <c r="J9" s="22" t="str" cm="1">
        <f t="array" aca="1" ref="J9" ca="1">contrast_text_color(rgb_to_long(H9))</f>
        <v>216, 204, 232</v>
      </c>
    </row>
    <row r="10" spans="1:10" x14ac:dyDescent="0.25">
      <c r="H10" s="23" t="str">
        <f t="shared" ca="1" si="0"/>
        <v>168, 185, 111</v>
      </c>
      <c r="I10" s="7" t="str" cm="1">
        <f t="array" aca="1" ref="I10" ca="1">long_to_rgb(contrast_text_monochrome(rgb_to_long(H10)))</f>
        <v>0, 0, 0</v>
      </c>
      <c r="J10" s="24" t="str" cm="1">
        <f t="array" aca="1" ref="J10" ca="1">contrast_text_color(rgb_to_long(H10))</f>
        <v>59, 65, 39</v>
      </c>
    </row>
    <row r="11" spans="1:10" x14ac:dyDescent="0.25">
      <c r="H11" s="25" t="str">
        <f t="shared" ca="1" si="0"/>
        <v>120, 72, 89</v>
      </c>
      <c r="I11" s="9" t="str" cm="1">
        <f t="array" aca="1" ref="I11" ca="1">long_to_rgb(contrast_text_monochrome(rgb_to_long(H11)))</f>
        <v>255, 255, 255</v>
      </c>
      <c r="J11" s="26" t="str" cm="1">
        <f t="array" aca="1" ref="J11" ca="1">contrast_text_color(rgb_to_long(H11))</f>
        <v>221, 209, 214</v>
      </c>
    </row>
    <row r="12" spans="1:10" x14ac:dyDescent="0.25">
      <c r="H12" s="27" t="str">
        <f t="shared" ca="1" si="0"/>
        <v>252, 136, 104</v>
      </c>
      <c r="I12" s="7" t="str" cm="1">
        <f t="array" aca="1" ref="I12" ca="1">long_to_rgb(contrast_text_monochrome(rgb_to_long(H12)))</f>
        <v>0, 0, 0</v>
      </c>
      <c r="J12" s="28" t="str" cm="1">
        <f t="array" aca="1" ref="J12" ca="1">contrast_text_color(rgb_to_long(H12))</f>
        <v>88, 48, 36</v>
      </c>
    </row>
    <row r="13" spans="1:10" x14ac:dyDescent="0.25">
      <c r="H13" s="29" t="str">
        <f t="shared" ca="1" si="0"/>
        <v>240, 161, 116</v>
      </c>
      <c r="I13" s="9" t="str" cm="1">
        <f t="array" aca="1" ref="I13" ca="1">long_to_rgb(contrast_text_monochrome(rgb_to_long(H13)))</f>
        <v>0, 0, 0</v>
      </c>
      <c r="J13" s="30" t="str" cm="1">
        <f t="array" aca="1" ref="J13" ca="1">contrast_text_color(rgb_to_long(H13))</f>
        <v>84, 56, 41</v>
      </c>
    </row>
    <row r="14" spans="1:10" x14ac:dyDescent="0.25">
      <c r="H14" s="31" t="str">
        <f t="shared" ca="1" si="0"/>
        <v>87, 160, 69</v>
      </c>
      <c r="I14" s="7" t="str" cm="1">
        <f t="array" aca="1" ref="I14" ca="1">long_to_rgb(contrast_text_monochrome(rgb_to_long(H14)))</f>
        <v>255, 255, 255</v>
      </c>
      <c r="J14" s="32" t="str" cm="1">
        <f t="array" aca="1" ref="J14" ca="1">contrast_text_color(rgb_to_long(H14))</f>
        <v>213, 231, 208</v>
      </c>
    </row>
    <row r="15" spans="1:10" x14ac:dyDescent="0.25">
      <c r="H15" s="33" t="str">
        <f t="shared" ca="1" si="0"/>
        <v>103, 39, 156</v>
      </c>
      <c r="I15" s="9" t="str" cm="1">
        <f t="array" aca="1" ref="I15" ca="1">long_to_rgb(contrast_text_monochrome(rgb_to_long(H15)))</f>
        <v>255, 255, 255</v>
      </c>
      <c r="J15" s="34" t="str" cm="1">
        <f t="array" aca="1" ref="J15" ca="1">contrast_text_color(rgb_to_long(H15))</f>
        <v>217, 201, 230</v>
      </c>
    </row>
    <row r="16" spans="1:10" x14ac:dyDescent="0.25">
      <c r="H16" s="35" t="str">
        <f t="shared" ca="1" si="0"/>
        <v>229, 99, 187</v>
      </c>
      <c r="I16" s="9" t="str" cm="1">
        <f t="array" aca="1" ref="I16" ca="1">long_to_rgb(contrast_text_monochrome(rgb_to_long(H16)))</f>
        <v>0, 0, 0</v>
      </c>
      <c r="J16" s="36" t="str" cm="1">
        <f t="array" aca="1" ref="J16" ca="1">contrast_text_color(rgb_to_long(H16))</f>
        <v>80, 35, 65</v>
      </c>
    </row>
    <row r="17" spans="8:10" x14ac:dyDescent="0.25">
      <c r="H17" s="37" t="str">
        <f t="shared" ca="1" si="0"/>
        <v>87, 14, 188</v>
      </c>
      <c r="I17" s="7" t="str" cm="1">
        <f t="array" aca="1" ref="I17" ca="1">long_to_rgb(contrast_text_monochrome(rgb_to_long(H17)))</f>
        <v>255, 255, 255</v>
      </c>
      <c r="J17" s="38" t="str" cm="1">
        <f t="array" aca="1" ref="J17" ca="1">contrast_text_color(rgb_to_long(H17))</f>
        <v>213, 195, 238</v>
      </c>
    </row>
    <row r="18" spans="8:10" x14ac:dyDescent="0.25">
      <c r="H18" s="39" t="str">
        <f t="shared" ca="1" si="0"/>
        <v>126, 218, 8</v>
      </c>
      <c r="I18" s="7" t="str" cm="1">
        <f t="array" aca="1" ref="I18" ca="1">long_to_rgb(contrast_text_monochrome(rgb_to_long(H18)))</f>
        <v>0, 0, 0</v>
      </c>
      <c r="J18" s="40" t="str" cm="1">
        <f t="array" aca="1" ref="J18" ca="1">contrast_text_color(rgb_to_long(H18))</f>
        <v>44, 76, 3</v>
      </c>
    </row>
    <row r="19" spans="8:10" x14ac:dyDescent="0.25">
      <c r="H19" s="41" t="str">
        <f t="shared" ca="1" si="0"/>
        <v>1, 166, 60</v>
      </c>
      <c r="I19" s="9" t="str" cm="1">
        <f t="array" aca="1" ref="I19" ca="1">long_to_rgb(contrast_text_monochrome(rgb_to_long(H19)))</f>
        <v>255, 255, 255</v>
      </c>
      <c r="J19" s="42" t="str" cm="1">
        <f t="array" aca="1" ref="J19" ca="1">contrast_text_color(rgb_to_long(H19))</f>
        <v>192, 233, 206</v>
      </c>
    </row>
    <row r="20" spans="8:10" x14ac:dyDescent="0.25">
      <c r="H20" s="43" t="str">
        <f t="shared" ca="1" si="0"/>
        <v>138, 248, 174</v>
      </c>
      <c r="I20" s="9" t="str" cm="1">
        <f t="array" aca="1" ref="I20" ca="1">long_to_rgb(contrast_text_monochrome(rgb_to_long(H20)))</f>
        <v>0, 0, 0</v>
      </c>
      <c r="J20" s="44" t="str" cm="1">
        <f t="array" aca="1" ref="J20" ca="1">contrast_text_color(rgb_to_long(H20))</f>
        <v>48, 87, 61</v>
      </c>
    </row>
    <row r="21" spans="8:10" x14ac:dyDescent="0.25">
      <c r="H21" s="45" t="str">
        <f ca="1">RANDBETWEEN(0,255)&amp;", "&amp;RANDBETWEEN(0,255)&amp;", "&amp;RANDBETWEEN(0,255)</f>
        <v>231, 143, 77</v>
      </c>
      <c r="I21" s="7" t="str" cm="1">
        <f t="array" aca="1" ref="I21" ca="1">long_to_rgb(contrast_text_monochrome(rgb_to_long(H21)))</f>
        <v>0, 0, 0</v>
      </c>
      <c r="J21" s="46" t="str" cm="1">
        <f t="array" aca="1" ref="J21" ca="1">contrast_text_color(rgb_to_long(H21))</f>
        <v>81, 50, 27</v>
      </c>
    </row>
    <row r="22" spans="8:10" x14ac:dyDescent="0.25">
      <c r="H22" s="47" t="str">
        <f t="shared" ca="1" si="0"/>
        <v>100, 160, 197</v>
      </c>
      <c r="I22" s="9" t="str" cm="1">
        <f t="array" aca="1" ref="I22" ca="1">long_to_rgb(contrast_text_monochrome(rgb_to_long(H22)))</f>
        <v>0, 0, 0</v>
      </c>
      <c r="J22" s="48" t="str" cm="1">
        <f t="array" aca="1" ref="J22" ca="1">contrast_text_color(rgb_to_long(H22))</f>
        <v>35, 56, 69</v>
      </c>
    </row>
    <row r="23" spans="8:10" x14ac:dyDescent="0.25">
      <c r="H23" s="49" t="str">
        <f t="shared" ca="1" si="0"/>
        <v>54, 212, 253</v>
      </c>
      <c r="I23" s="9" t="str" cm="1">
        <f t="array" aca="1" ref="I23" ca="1">long_to_rgb(contrast_text_monochrome(rgb_to_long(H23)))</f>
        <v>0, 0, 0</v>
      </c>
      <c r="J23" s="50" t="str" cm="1">
        <f t="array" aca="1" ref="J23" ca="1">contrast_text_color(rgb_to_long(H23))</f>
        <v>19, 74, 89</v>
      </c>
    </row>
    <row r="24" spans="8:10" x14ac:dyDescent="0.25">
      <c r="H24" s="51" t="str">
        <f t="shared" ca="1" si="0"/>
        <v>100, 124, 219</v>
      </c>
      <c r="I24" s="9" t="str" cm="1">
        <f t="array" aca="1" ref="I24" ca="1">long_to_rgb(contrast_text_monochrome(rgb_to_long(H24)))</f>
        <v>255, 255, 255</v>
      </c>
      <c r="J24" s="52" t="str" cm="1">
        <f t="array" aca="1" ref="J24" ca="1">contrast_text_color(rgb_to_long(H24))</f>
        <v>216, 222, 246</v>
      </c>
    </row>
    <row r="25" spans="8:10" x14ac:dyDescent="0.25">
      <c r="H25" s="53" t="str">
        <f t="shared" ca="1" si="0"/>
        <v>215, 54, 245</v>
      </c>
      <c r="I25" s="7" t="str" cm="1">
        <f t="array" aca="1" ref="I25" ca="1">long_to_rgb(contrast_text_monochrome(rgb_to_long(H25)))</f>
        <v>255, 255, 255</v>
      </c>
      <c r="J25" s="54" t="str" cm="1">
        <f t="array" aca="1" ref="J25" ca="1">contrast_text_color(rgb_to_long(H25))</f>
        <v>245, 205, 252</v>
      </c>
    </row>
    <row r="26" spans="8:10" x14ac:dyDescent="0.25">
      <c r="H26" s="55" t="str">
        <f t="shared" ca="1" si="0"/>
        <v>88, 233, 15</v>
      </c>
      <c r="I26" s="9" t="str" cm="1">
        <f t="array" aca="1" ref="I26" ca="1">long_to_rgb(contrast_text_monochrome(rgb_to_long(H26)))</f>
        <v>0, 0, 0</v>
      </c>
      <c r="J26" s="56" t="str" cm="1">
        <f t="array" aca="1" ref="J26" ca="1">contrast_text_color(rgb_to_long(H26))</f>
        <v>31, 82, 5</v>
      </c>
    </row>
    <row r="27" spans="8:10" x14ac:dyDescent="0.25">
      <c r="H27" s="57" t="str">
        <f t="shared" ca="1" si="0"/>
        <v>203, 52, 211</v>
      </c>
      <c r="I27" s="7" t="str" cm="1">
        <f t="array" aca="1" ref="I27" ca="1">long_to_rgb(contrast_text_monochrome(rgb_to_long(H27)))</f>
        <v>255, 255, 255</v>
      </c>
      <c r="J27" s="58" t="str" cm="1">
        <f t="array" aca="1" ref="J27" ca="1">contrast_text_color(rgb_to_long(H27))</f>
        <v>242, 204, 244</v>
      </c>
    </row>
    <row r="28" spans="8:10" x14ac:dyDescent="0.25">
      <c r="H28" s="59" t="str">
        <f t="shared" ca="1" si="0"/>
        <v>183, 211, 81</v>
      </c>
      <c r="I28" s="7" t="str" cm="1">
        <f t="array" aca="1" ref="I28" ca="1">long_to_rgb(contrast_text_monochrome(rgb_to_long(H28)))</f>
        <v>0, 0, 0</v>
      </c>
      <c r="J28" s="60" t="str" cm="1">
        <f t="array" aca="1" ref="J28" ca="1">contrast_text_color(rgb_to_long(H28))</f>
        <v>64, 74, 28</v>
      </c>
    </row>
    <row r="29" spans="8:10" x14ac:dyDescent="0.25">
      <c r="H29" s="61" t="str">
        <f t="shared" ca="1" si="0"/>
        <v>49, 11, 102</v>
      </c>
      <c r="I29" s="9" t="str" cm="1">
        <f t="array" aca="1" ref="I29" ca="1">long_to_rgb(contrast_text_monochrome(rgb_to_long(H29)))</f>
        <v>255, 255, 255</v>
      </c>
      <c r="J29" s="62" t="str" cm="1">
        <f t="array" aca="1" ref="J29" ca="1">contrast_text_color(rgb_to_long(H29))</f>
        <v>204, 194, 217</v>
      </c>
    </row>
    <row r="30" spans="8:10" x14ac:dyDescent="0.25">
      <c r="H30" s="63" t="str">
        <f t="shared" ca="1" si="0"/>
        <v>104, 22, 86</v>
      </c>
      <c r="I30" s="7" t="str" cm="1">
        <f t="array" aca="1" ref="I30" ca="1">long_to_rgb(contrast_text_monochrome(rgb_to_long(H30)))</f>
        <v>255, 255, 255</v>
      </c>
      <c r="J30" s="64" t="str" cm="1">
        <f t="array" aca="1" ref="J30" ca="1">contrast_text_color(rgb_to_long(H30))</f>
        <v>217, 197, 213</v>
      </c>
    </row>
    <row r="31" spans="8:10" x14ac:dyDescent="0.25">
      <c r="H31" s="65" t="str">
        <f t="shared" ca="1" si="0"/>
        <v>33, 142, 187</v>
      </c>
      <c r="I31" s="9" t="str" cm="1">
        <f t="array" aca="1" ref="I31" ca="1">long_to_rgb(contrast_text_monochrome(rgb_to_long(H31)))</f>
        <v>255, 255, 255</v>
      </c>
      <c r="J31" s="66" t="str" cm="1">
        <f t="array" aca="1" ref="J31" ca="1">contrast_text_color(rgb_to_long(H31))</f>
        <v>200, 227, 238</v>
      </c>
    </row>
    <row r="32" spans="8:10" x14ac:dyDescent="0.25">
      <c r="H32" s="67" t="str">
        <f t="shared" ca="1" si="0"/>
        <v>111, 153, 97</v>
      </c>
      <c r="I32" s="7" t="str" cm="1">
        <f t="array" aca="1" ref="I32" ca="1">long_to_rgb(contrast_text_monochrome(rgb_to_long(H32)))</f>
        <v>255, 255, 255</v>
      </c>
      <c r="J32" s="68" t="str" cm="1">
        <f t="array" aca="1" ref="J32" ca="1">contrast_text_color(rgb_to_long(H32))</f>
        <v>219, 230, 216</v>
      </c>
    </row>
    <row r="33" spans="8:10" x14ac:dyDescent="0.25">
      <c r="H33" s="69" t="str">
        <f t="shared" ca="1" si="0"/>
        <v>36, 4, 123</v>
      </c>
      <c r="I33" s="7" t="str" cm="1">
        <f t="array" aca="1" ref="I33" ca="1">long_to_rgb(contrast_text_monochrome(rgb_to_long(H33)))</f>
        <v>255, 255, 255</v>
      </c>
      <c r="J33" s="70" t="str" cm="1">
        <f t="array" aca="1" ref="J33" ca="1">contrast_text_color(rgb_to_long(H33))</f>
        <v>200, 192, 222</v>
      </c>
    </row>
    <row r="34" spans="8:10" x14ac:dyDescent="0.25">
      <c r="H34" s="71" t="str">
        <f t="shared" ca="1" si="0"/>
        <v>29, 43, 216</v>
      </c>
      <c r="I34" s="9" t="str" cm="1">
        <f t="array" aca="1" ref="I34" ca="1">long_to_rgb(contrast_text_monochrome(rgb_to_long(H34)))</f>
        <v>255, 255, 255</v>
      </c>
      <c r="J34" s="72" t="str" cm="1">
        <f t="array" aca="1" ref="J34" ca="1">contrast_text_color(rgb_to_long(H34))</f>
        <v>198, 202, 245</v>
      </c>
    </row>
    <row r="35" spans="8:10" x14ac:dyDescent="0.25">
      <c r="H35" s="73" t="str">
        <f t="shared" ca="1" si="0"/>
        <v>198, 130, 147</v>
      </c>
      <c r="I35" s="7" t="str" cm="1">
        <f t="array" aca="1" ref="I35" ca="1">long_to_rgb(contrast_text_monochrome(rgb_to_long(H35)))</f>
        <v>0, 0, 0</v>
      </c>
      <c r="J35" s="74" t="str" cm="1">
        <f t="array" aca="1" ref="J35" ca="1">contrast_text_color(rgb_to_long(H35))</f>
        <v>69, 46, 51</v>
      </c>
    </row>
    <row r="36" spans="8:10" x14ac:dyDescent="0.25">
      <c r="H36" s="75" t="str">
        <f t="shared" ca="1" si="0"/>
        <v>74, 184, 68</v>
      </c>
      <c r="I36" s="7" t="str" cm="1">
        <f t="array" aca="1" ref="I36" ca="1">long_to_rgb(contrast_text_monochrome(rgb_to_long(H36)))</f>
        <v>255, 255, 255</v>
      </c>
      <c r="J36" s="76" t="str" cm="1">
        <f t="array" aca="1" ref="J36" ca="1">contrast_text_color(rgb_to_long(H36))</f>
        <v>210, 237, 208</v>
      </c>
    </row>
    <row r="37" spans="8:10" x14ac:dyDescent="0.25">
      <c r="H37" s="77" t="str">
        <f t="shared" ca="1" si="0"/>
        <v>116, 197, 156</v>
      </c>
      <c r="I37" s="7" t="str" cm="1">
        <f t="array" aca="1" ref="I37" ca="1">long_to_rgb(contrast_text_monochrome(rgb_to_long(H37)))</f>
        <v>0, 0, 0</v>
      </c>
      <c r="J37" s="78" t="str" cm="1">
        <f t="array" aca="1" ref="J37" ca="1">contrast_text_color(rgb_to_long(H37))</f>
        <v>41, 69, 55</v>
      </c>
    </row>
    <row r="38" spans="8:10" x14ac:dyDescent="0.25">
      <c r="H38" s="79" t="str">
        <f t="shared" ca="1" si="0"/>
        <v>56, 146, 146</v>
      </c>
      <c r="I38" s="7" t="str" cm="1">
        <f t="array" aca="1" ref="I38" ca="1">long_to_rgb(contrast_text_monochrome(rgb_to_long(H38)))</f>
        <v>255, 255, 255</v>
      </c>
      <c r="J38" s="80" t="str" cm="1">
        <f t="array" aca="1" ref="J38" ca="1">contrast_text_color(rgb_to_long(H38))</f>
        <v>205, 228, 228</v>
      </c>
    </row>
    <row r="39" spans="8:10" x14ac:dyDescent="0.25">
      <c r="H39" s="81" t="str">
        <f t="shared" ca="1" si="0"/>
        <v>223, 18, 133</v>
      </c>
      <c r="I39" s="7" t="str" cm="1">
        <f t="array" aca="1" ref="I39" ca="1">long_to_rgb(contrast_text_monochrome(rgb_to_long(H39)))</f>
        <v>255, 255, 255</v>
      </c>
      <c r="J39" s="82" t="str" cm="1">
        <f t="array" aca="1" ref="J39" ca="1">contrast_text_color(rgb_to_long(H39))</f>
        <v>247, 196, 224</v>
      </c>
    </row>
    <row r="40" spans="8:10" x14ac:dyDescent="0.25">
      <c r="H40" s="83" t="str">
        <f t="shared" ca="1" si="0"/>
        <v>4, 99, 90</v>
      </c>
      <c r="I40" s="9" t="str" cm="1">
        <f t="array" aca="1" ref="I40" ca="1">long_to_rgb(contrast_text_monochrome(rgb_to_long(H40)))</f>
        <v>255, 255, 255</v>
      </c>
      <c r="J40" s="84" t="str" cm="1">
        <f t="array" aca="1" ref="J40" ca="1">contrast_text_color(rgb_to_long(H40))</f>
        <v>192, 216, 214</v>
      </c>
    </row>
    <row r="41" spans="8:10" x14ac:dyDescent="0.25">
      <c r="H41" s="85" t="str">
        <f t="shared" ca="1" si="0"/>
        <v>125, 76, 200</v>
      </c>
      <c r="I41" s="7" t="str" cm="1">
        <f t="array" aca="1" ref="I41" ca="1">long_to_rgb(contrast_text_monochrome(rgb_to_long(H41)))</f>
        <v>255, 255, 255</v>
      </c>
      <c r="J41" s="86" t="str" cm="1">
        <f t="array" aca="1" ref="J41" ca="1">contrast_text_color(rgb_to_long(H41))</f>
        <v>222, 210, 241</v>
      </c>
    </row>
    <row r="42" spans="8:10" x14ac:dyDescent="0.25">
      <c r="H42" s="87" t="str">
        <f t="shared" ca="1" si="0"/>
        <v>240, 63, 28</v>
      </c>
      <c r="I42" s="7" t="str" cm="1">
        <f t="array" aca="1" ref="I42" ca="1">long_to_rgb(contrast_text_monochrome(rgb_to_long(H42)))</f>
        <v>255, 255, 255</v>
      </c>
      <c r="J42" s="88" t="str" cm="1">
        <f t="array" aca="1" ref="J42" ca="1">contrast_text_color(rgb_to_long(H42))</f>
        <v>251, 207, 198</v>
      </c>
    </row>
    <row r="43" spans="8:10" x14ac:dyDescent="0.25">
      <c r="H43" s="89" t="str">
        <f t="shared" ca="1" si="0"/>
        <v>134, 203, 121</v>
      </c>
      <c r="I43" s="9" t="str" cm="1">
        <f t="array" aca="1" ref="I43" ca="1">long_to_rgb(contrast_text_monochrome(rgb_to_long(H43)))</f>
        <v>0, 0, 0</v>
      </c>
      <c r="J43" s="90" t="str" cm="1">
        <f t="array" aca="1" ref="J43" ca="1">contrast_text_color(rgb_to_long(H43))</f>
        <v>47, 71, 42</v>
      </c>
    </row>
    <row r="44" spans="8:10" x14ac:dyDescent="0.25">
      <c r="H44" s="91" t="str">
        <f t="shared" ca="1" si="0"/>
        <v>113, 5, 239</v>
      </c>
      <c r="I44" s="9" t="str" cm="1">
        <f t="array" aca="1" ref="I44" ca="1">long_to_rgb(contrast_text_monochrome(rgb_to_long(H44)))</f>
        <v>255, 255, 255</v>
      </c>
      <c r="J44" s="92" t="str" cm="1">
        <f t="array" aca="1" ref="J44" ca="1">contrast_text_color(rgb_to_long(H44))</f>
        <v>220, 192, 251</v>
      </c>
    </row>
    <row r="45" spans="8:10" x14ac:dyDescent="0.25">
      <c r="H45" s="93" t="str">
        <f t="shared" ca="1" si="0"/>
        <v>6, 68, 6</v>
      </c>
      <c r="I45" s="9" t="str" cm="1">
        <f t="array" aca="1" ref="I45" ca="1">long_to_rgb(contrast_text_monochrome(rgb_to_long(H45)))</f>
        <v>255, 255, 255</v>
      </c>
      <c r="J45" s="94" t="str" cm="1">
        <f t="array" aca="1" ref="J45" ca="1">contrast_text_color(rgb_to_long(H45))</f>
        <v>193, 208, 193</v>
      </c>
    </row>
    <row r="46" spans="8:10" x14ac:dyDescent="0.25">
      <c r="H46" s="95" t="str">
        <f t="shared" ca="1" si="0"/>
        <v>98, 248, 191</v>
      </c>
      <c r="I46" s="7" t="str" cm="1">
        <f t="array" aca="1" ref="I46" ca="1">long_to_rgb(contrast_text_monochrome(rgb_to_long(H46)))</f>
        <v>0, 0, 0</v>
      </c>
      <c r="J46" s="96" t="str" cm="1">
        <f t="array" aca="1" ref="J46" ca="1">contrast_text_color(rgb_to_long(H46))</f>
        <v>34, 87, 67</v>
      </c>
    </row>
    <row r="47" spans="8:10" x14ac:dyDescent="0.25">
      <c r="H47" s="97" t="str">
        <f t="shared" ca="1" si="0"/>
        <v>45, 64, 198</v>
      </c>
      <c r="I47" s="7" t="str" cm="1">
        <f t="array" aca="1" ref="I47" ca="1">long_to_rgb(contrast_text_monochrome(rgb_to_long(H47)))</f>
        <v>255, 255, 255</v>
      </c>
      <c r="J47" s="98" t="str" cm="1">
        <f t="array" aca="1" ref="J47" ca="1">contrast_text_color(rgb_to_long(H47))</f>
        <v>202, 207, 241</v>
      </c>
    </row>
    <row r="48" spans="8:10" x14ac:dyDescent="0.25">
      <c r="H48" s="99" t="str">
        <f t="shared" ca="1" si="0"/>
        <v>176, 27, 175</v>
      </c>
      <c r="I48" s="9" t="str" cm="1">
        <f t="array" aca="1" ref="I48" ca="1">long_to_rgb(contrast_text_monochrome(rgb_to_long(H48)))</f>
        <v>255, 255, 255</v>
      </c>
      <c r="J48" s="100" t="str" cm="1">
        <f t="array" aca="1" ref="J48" ca="1">contrast_text_color(rgb_to_long(H48))</f>
        <v>235, 198, 235</v>
      </c>
    </row>
    <row r="49" spans="8:10" x14ac:dyDescent="0.25">
      <c r="H49" s="101" t="str">
        <f t="shared" ca="1" si="0"/>
        <v>124, 79, 251</v>
      </c>
      <c r="I49" s="7" t="str" cm="1">
        <f t="array" aca="1" ref="I49" ca="1">long_to_rgb(contrast_text_monochrome(rgb_to_long(H49)))</f>
        <v>255, 255, 255</v>
      </c>
      <c r="J49" s="102" t="str" cm="1">
        <f t="array" aca="1" ref="J49" ca="1">contrast_text_color(rgb_to_long(H49))</f>
        <v>222, 211, 254</v>
      </c>
    </row>
    <row r="50" spans="8:10" x14ac:dyDescent="0.25">
      <c r="H50" s="103" t="str">
        <f t="shared" ca="1" si="0"/>
        <v>220, 199, 29</v>
      </c>
      <c r="I50" s="9" t="str" cm="1">
        <f t="array" aca="1" ref="I50" ca="1">long_to_rgb(contrast_text_monochrome(rgb_to_long(H50)))</f>
        <v>0, 0, 0</v>
      </c>
      <c r="J50" s="104" t="str" cm="1">
        <f t="array" aca="1" ref="J50" ca="1">contrast_text_color(rgb_to_long(H50))</f>
        <v>77, 70, 10</v>
      </c>
    </row>
    <row r="51" spans="8:10" x14ac:dyDescent="0.25">
      <c r="H51" s="105" t="str">
        <f t="shared" ca="1" si="0"/>
        <v>253, 230, 103</v>
      </c>
      <c r="I51" s="7" t="str" cm="1">
        <f t="array" aca="1" ref="I51" ca="1">long_to_rgb(contrast_text_monochrome(rgb_to_long(H51)))</f>
        <v>0, 0, 0</v>
      </c>
      <c r="J51" s="106" t="str" cm="1">
        <f t="array" aca="1" ref="J51" ca="1">contrast_text_color(rgb_to_long(H51))</f>
        <v>89, 80, 36</v>
      </c>
    </row>
    <row r="52" spans="8:10" x14ac:dyDescent="0.25">
      <c r="H52" s="107" t="str">
        <f t="shared" ca="1" si="0"/>
        <v>221, 171, 209</v>
      </c>
      <c r="I52" s="9" t="str" cm="1">
        <f t="array" aca="1" ref="I52" ca="1">long_to_rgb(contrast_text_monochrome(rgb_to_long(H52)))</f>
        <v>0, 0, 0</v>
      </c>
      <c r="J52" s="108" t="str" cm="1">
        <f t="array" aca="1" ref="J52" ca="1">contrast_text_color(rgb_to_long(H52))</f>
        <v>77, 60, 73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3CCD1-CC34-412F-8911-5583AA7D5546}">
  <sheetPr codeName="Sheet2"/>
  <dimension ref="C16:Q27"/>
  <sheetViews>
    <sheetView tabSelected="1" topLeftCell="C1" workbookViewId="0">
      <selection activeCell="N10" sqref="N10"/>
    </sheetView>
  </sheetViews>
  <sheetFormatPr defaultRowHeight="13.2" x14ac:dyDescent="0.25"/>
  <cols>
    <col min="3" max="3" width="13.44140625" customWidth="1"/>
    <col min="6" max="7" width="12" customWidth="1"/>
    <col min="9" max="10" width="12" customWidth="1"/>
    <col min="13" max="14" width="13.21875" customWidth="1"/>
    <col min="16" max="17" width="13.21875" customWidth="1"/>
  </cols>
  <sheetData>
    <row r="16" spans="5:12" x14ac:dyDescent="0.25">
      <c r="E16" t="s">
        <v>5</v>
      </c>
      <c r="L16" t="s">
        <v>11</v>
      </c>
    </row>
    <row r="17" spans="3:17" x14ac:dyDescent="0.25">
      <c r="C17" t="s">
        <v>30</v>
      </c>
      <c r="D17" t="s">
        <v>6</v>
      </c>
      <c r="E17" s="119" t="s">
        <v>12</v>
      </c>
      <c r="F17" s="109" t="str" cm="1">
        <f t="array" ref="F17">hex_to_rgb(E17)</f>
        <v>44, 6, 14</v>
      </c>
      <c r="G17" s="109" cm="1">
        <f t="array" ref="G17">rgb_to_long(F17)</f>
        <v>919084</v>
      </c>
      <c r="H17" s="120" t="s">
        <v>15</v>
      </c>
      <c r="I17" s="110" t="str" cm="1">
        <f t="array" ref="I17">hex_to_rgb(H17)</f>
        <v>234, 134, 143</v>
      </c>
      <c r="J17" s="110" cm="1">
        <f t="array" ref="J17">rgb_to_long(I17)</f>
        <v>9406186</v>
      </c>
      <c r="L17" s="129" t="s">
        <v>20</v>
      </c>
      <c r="M17" s="129" t="str" cm="1">
        <f t="array" ref="M17">hex_to_rgb(L17)</f>
        <v>248, 215, 218</v>
      </c>
      <c r="N17" s="129" cm="1">
        <f t="array" ref="N17">rgb_to_long(M17)</f>
        <v>14342136</v>
      </c>
      <c r="O17" s="130" t="s">
        <v>25</v>
      </c>
      <c r="P17" s="130" t="str" cm="1">
        <f t="array" ref="P17">hex_to_rgb(O17)</f>
        <v>88, 21, 28</v>
      </c>
      <c r="Q17" s="130" cm="1">
        <f t="array" ref="Q17">rgb_to_long(P17)</f>
        <v>1840472</v>
      </c>
    </row>
    <row r="18" spans="3:17" x14ac:dyDescent="0.25">
      <c r="C18" t="s">
        <v>31</v>
      </c>
      <c r="D18" t="s">
        <v>7</v>
      </c>
      <c r="E18" s="121">
        <v>332701</v>
      </c>
      <c r="F18" s="111" t="str" cm="1">
        <f t="array" ref="F18">hex_to_rgb(E18)</f>
        <v>51, 39, 1</v>
      </c>
      <c r="G18" s="111" cm="1">
        <f t="array" ref="G18">rgb_to_long(F18)</f>
        <v>75571</v>
      </c>
      <c r="H18" s="122" t="s">
        <v>16</v>
      </c>
      <c r="I18" s="112" t="str" cm="1">
        <f t="array" ref="I18">hex_to_rgb(H18)</f>
        <v>255, 218, 106</v>
      </c>
      <c r="J18" s="112" cm="1">
        <f t="array" ref="J18">rgb_to_long(I18)</f>
        <v>7002879</v>
      </c>
      <c r="L18" s="131" t="s">
        <v>21</v>
      </c>
      <c r="M18" s="131" t="str" cm="1">
        <f t="array" ref="M18">hex_to_rgb(L18)</f>
        <v>255, 243, 205</v>
      </c>
      <c r="N18" s="131" cm="1">
        <f t="array" ref="N18">rgb_to_long(M18)</f>
        <v>13497343</v>
      </c>
      <c r="O18" s="132" t="s">
        <v>26</v>
      </c>
      <c r="P18" s="132" t="str" cm="1">
        <f t="array" ref="P18">hex_to_rgb(O18)</f>
        <v>102, 77, 3</v>
      </c>
      <c r="Q18" s="132" cm="1">
        <f t="array" ref="Q18">rgb_to_long(P18)</f>
        <v>216422</v>
      </c>
    </row>
    <row r="19" spans="3:17" x14ac:dyDescent="0.25">
      <c r="C19" t="s">
        <v>32</v>
      </c>
      <c r="D19" t="s">
        <v>8</v>
      </c>
      <c r="E19" s="123" t="s">
        <v>13</v>
      </c>
      <c r="F19" s="113" t="str" cm="1">
        <f t="array" ref="F19">hex_to_rgb(E19)</f>
        <v>5, 27, 17</v>
      </c>
      <c r="G19" s="113" cm="1">
        <f t="array" ref="G19">rgb_to_long(F19)</f>
        <v>1121029</v>
      </c>
      <c r="H19" s="124" t="s">
        <v>17</v>
      </c>
      <c r="I19" s="114" t="str" cm="1">
        <f t="array" ref="I19">hex_to_rgb(H19)</f>
        <v>117, 168, 95</v>
      </c>
      <c r="J19" s="114" cm="1">
        <f t="array" ref="J19">rgb_to_long(I19)</f>
        <v>6269045</v>
      </c>
      <c r="L19" s="133" t="s">
        <v>22</v>
      </c>
      <c r="M19" s="133" t="str" cm="1">
        <f t="array" ref="M19">hex_to_rgb(L19)</f>
        <v>209, 231, 221</v>
      </c>
      <c r="N19" s="133" cm="1">
        <f t="array" ref="N19">rgb_to_long(M19)</f>
        <v>14542801</v>
      </c>
      <c r="O19" s="134" t="s">
        <v>27</v>
      </c>
      <c r="P19" s="134" t="str" cm="1">
        <f t="array" ref="P19">hex_to_rgb(O19)</f>
        <v>10, 54, 34</v>
      </c>
      <c r="Q19" s="134" cm="1">
        <f t="array" ref="Q19">rgb_to_long(P19)</f>
        <v>2242058</v>
      </c>
    </row>
    <row r="20" spans="3:17" x14ac:dyDescent="0.25">
      <c r="C20" t="s">
        <v>33</v>
      </c>
      <c r="D20" t="s">
        <v>9</v>
      </c>
      <c r="E20" s="125" t="s">
        <v>14</v>
      </c>
      <c r="F20" s="115" t="str" cm="1">
        <f t="array" ref="F20">hex_to_rgb(E20)</f>
        <v>3, 27, 51</v>
      </c>
      <c r="G20" s="115" cm="1">
        <f t="array" ref="G20">rgb_to_long(F20)</f>
        <v>3349251</v>
      </c>
      <c r="H20" s="126" t="s">
        <v>18</v>
      </c>
      <c r="I20" s="116" t="str" cm="1">
        <f t="array" ref="I20">hex_to_rgb(H20)</f>
        <v>110, 168, 254</v>
      </c>
      <c r="J20" s="116" cm="1">
        <f t="array" ref="J20">rgb_to_long(I20)</f>
        <v>16689262</v>
      </c>
      <c r="L20" s="135" t="s">
        <v>23</v>
      </c>
      <c r="M20" s="135" t="str" cm="1">
        <f t="array" ref="M20">hex_to_rgb(L20)</f>
        <v>207, 226, 255</v>
      </c>
      <c r="N20" s="135" cm="1">
        <f t="array" ref="N20">rgb_to_long(M20)</f>
        <v>16769743</v>
      </c>
      <c r="O20" s="138" t="s">
        <v>29</v>
      </c>
      <c r="P20" s="138" t="str" cm="1">
        <f t="array" ref="P20">hex_to_rgb(O20)</f>
        <v>5, 44, 101</v>
      </c>
      <c r="Q20" s="138" cm="1">
        <f t="array" ref="Q20">rgb_to_long(P20)</f>
        <v>6630405</v>
      </c>
    </row>
    <row r="21" spans="3:17" x14ac:dyDescent="0.25">
      <c r="C21" t="s">
        <v>34</v>
      </c>
      <c r="D21" t="s">
        <v>10</v>
      </c>
      <c r="E21" s="127">
        <v>161719</v>
      </c>
      <c r="F21" s="117" t="str" cm="1">
        <f t="array" ref="F21">hex_to_rgb(E21)</f>
        <v>22, 23, 25</v>
      </c>
      <c r="G21" s="117" cm="1">
        <f t="array" ref="G21">rgb_to_long(F21)</f>
        <v>1644310</v>
      </c>
      <c r="H21" s="128" t="s">
        <v>19</v>
      </c>
      <c r="I21" s="118" t="str" cm="1">
        <f t="array" ref="I21">hex_to_rgb(H21)</f>
        <v>167, 172, 177</v>
      </c>
      <c r="J21" s="118" cm="1">
        <f t="array" ref="J21">rgb_to_long(I21)</f>
        <v>11644071</v>
      </c>
      <c r="L21" s="136" t="s">
        <v>24</v>
      </c>
      <c r="M21" s="136" t="str" cm="1">
        <f t="array" ref="M21">hex_to_rgb(L21)</f>
        <v>226, 227, 229</v>
      </c>
      <c r="N21" s="136" cm="1">
        <f t="array" ref="N21">rgb_to_long(M21)</f>
        <v>15066082</v>
      </c>
      <c r="O21" s="137" t="s">
        <v>28</v>
      </c>
      <c r="P21" s="137" t="str" cm="1">
        <f t="array" ref="P21">hex_to_rgb(O21)</f>
        <v>43, 47, 50</v>
      </c>
      <c r="Q21" s="137" cm="1">
        <f t="array" ref="Q21">rgb_to_long(P21)</f>
        <v>3288875</v>
      </c>
    </row>
    <row r="23" spans="3:17" x14ac:dyDescent="0.25">
      <c r="G23" s="139" t="str">
        <f>"Public Const "&amp;$C17&amp;"_DARKEST "&amp;"As Long = "&amp;G17</f>
        <v>Public Const DANGER_DARKEST As Long = 919084</v>
      </c>
      <c r="J23" s="139" t="str">
        <f>"Public Const "&amp;$C17&amp;" "&amp;"As Long = "&amp;J17</f>
        <v>Public Const DANGER As Long = 9406186</v>
      </c>
      <c r="N23" s="139" t="str">
        <f>"Public Const "&amp;$C17&amp;"_LIGHT "&amp;"As Long = "&amp;N17</f>
        <v>Public Const DANGER_LIGHT As Long = 14342136</v>
      </c>
      <c r="Q23" s="139" t="str">
        <f>"Public Const "&amp;$C17&amp;"_DARK "&amp;"As Long = "&amp;Q17</f>
        <v>Public Const DANGER_DARK As Long = 1840472</v>
      </c>
    </row>
    <row r="24" spans="3:17" x14ac:dyDescent="0.25">
      <c r="G24" s="139" t="str">
        <f t="shared" ref="G24:G27" si="0">"Public Const "&amp;$C18&amp;"_DARKEST "&amp;"As Long = "&amp;G18</f>
        <v>Public Const WARNING_DARKEST As Long = 75571</v>
      </c>
      <c r="J24" s="139" t="str">
        <f t="shared" ref="J24:J27" si="1">"Public Const "&amp;$C18&amp;" "&amp;"As Long = "&amp;J18</f>
        <v>Public Const WARNING As Long = 7002879</v>
      </c>
      <c r="N24" s="139" t="str">
        <f t="shared" ref="N24:N27" si="2">"Public Const "&amp;$C18&amp;"_LIGHT "&amp;"As Long = "&amp;N18</f>
        <v>Public Const WARNING_LIGHT As Long = 13497343</v>
      </c>
      <c r="Q24" s="139" t="str">
        <f t="shared" ref="Q24:Q27" si="3">"Public Const "&amp;$C18&amp;"_DARK "&amp;"As Long = "&amp;Q18</f>
        <v>Public Const WARNING_DARK As Long = 216422</v>
      </c>
    </row>
    <row r="25" spans="3:17" x14ac:dyDescent="0.25">
      <c r="G25" s="139" t="str">
        <f t="shared" si="0"/>
        <v>Public Const SUCCESS_DARKEST As Long = 1121029</v>
      </c>
      <c r="J25" s="139" t="str">
        <f t="shared" si="1"/>
        <v>Public Const SUCCESS As Long = 6269045</v>
      </c>
      <c r="N25" s="139" t="str">
        <f t="shared" si="2"/>
        <v>Public Const SUCCESS_LIGHT As Long = 14542801</v>
      </c>
      <c r="Q25" s="139" t="str">
        <f t="shared" si="3"/>
        <v>Public Const SUCCESS_DARK As Long = 2242058</v>
      </c>
    </row>
    <row r="26" spans="3:17" x14ac:dyDescent="0.25">
      <c r="G26" s="139" t="str">
        <f t="shared" si="0"/>
        <v>Public Const PRIMARY_DARKEST As Long = 3349251</v>
      </c>
      <c r="J26" s="139" t="str">
        <f t="shared" si="1"/>
        <v>Public Const PRIMARY As Long = 16689262</v>
      </c>
      <c r="N26" s="139" t="str">
        <f t="shared" si="2"/>
        <v>Public Const PRIMARY_LIGHT As Long = 16769743</v>
      </c>
      <c r="Q26" s="139" t="str">
        <f t="shared" si="3"/>
        <v>Public Const PRIMARY_DARK As Long = 6630405</v>
      </c>
    </row>
    <row r="27" spans="3:17" x14ac:dyDescent="0.25">
      <c r="G27" s="139" t="str">
        <f t="shared" si="0"/>
        <v>Public Const SECONDARY_DARKEST As Long = 1644310</v>
      </c>
      <c r="J27" s="139" t="str">
        <f t="shared" si="1"/>
        <v>Public Const SECONDARY As Long = 11644071</v>
      </c>
      <c r="N27" s="139" t="str">
        <f t="shared" si="2"/>
        <v>Public Const SECONDARY_LIGHT As Long = 15066082</v>
      </c>
      <c r="Q27" s="139" t="str">
        <f t="shared" si="3"/>
        <v>Public Const SECONDARY_DARK As Long = 3288875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Fisher, Benjamin S CIV USARMY CEPOJ (USA)</dc:creator>
  <cp:lastModifiedBy>Ben Fisher</cp:lastModifiedBy>
  <cp:lastPrinted>2024-02-16T00:31:42Z</cp:lastPrinted>
  <dcterms:created xsi:type="dcterms:W3CDTF">2023-11-20T03:42:34Z</dcterms:created>
  <dcterms:modified xsi:type="dcterms:W3CDTF">2024-03-16T11:32:35Z</dcterms:modified>
</cp:coreProperties>
</file>