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2ee9bsf\Documents\03 Repos\01 Excel\02 Color Functions\"/>
    </mc:Choice>
  </mc:AlternateContent>
  <xr:revisionPtr revIDLastSave="0" documentId="13_ncr:1_{4B182BFD-144E-44BD-9733-A726A9755354}" xr6:coauthVersionLast="47" xr6:coauthVersionMax="47" xr10:uidLastSave="{00000000-0000-0000-0000-000000000000}"/>
  <bookViews>
    <workbookView xWindow="7965" yWindow="540" windowWidth="15465" windowHeight="14325" activeTab="2" xr2:uid="{36776606-EBC2-42CF-8E5D-E40E33849178}"/>
  </bookViews>
  <sheets>
    <sheet name="List" sheetId="1" r:id="rId1"/>
    <sheet name="Sheet2" sheetId="2" r:id="rId2"/>
    <sheet name="Sorted" sheetId="3" r:id="rId3"/>
  </sheets>
  <functionGroups builtInGroupCount="19"/>
  <definedNames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2" l="1" a="1"/>
  <c r="F12" i="2"/>
  <c r="F9" i="2" a="1"/>
  <c r="F10" i="2" a="1"/>
  <c r="F11" i="2" a="1"/>
  <c r="F13" i="2" a="1"/>
  <c r="F8" i="2" a="1"/>
  <c r="E9" i="2" a="1"/>
  <c r="E10" i="2" a="1"/>
  <c r="E12" i="2" a="1"/>
  <c r="E13" i="2" a="1"/>
  <c r="E11" i="2" a="1"/>
  <c r="E8" i="2" a="1"/>
  <c r="F16" i="1" a="1"/>
  <c r="F23" i="1" a="1"/>
  <c r="F30" i="1" a="1"/>
  <c r="F37" i="1" a="1"/>
  <c r="F44" i="1" a="1"/>
  <c r="F51" i="1" a="1"/>
  <c r="F58" i="1" a="1"/>
  <c r="F72" i="1" a="1"/>
  <c r="F79" i="1" a="1"/>
  <c r="F86" i="1" a="1"/>
  <c r="F93" i="1" a="1"/>
  <c r="F100" i="1" a="1"/>
  <c r="F107" i="1" a="1"/>
  <c r="F114" i="1" a="1"/>
  <c r="F128" i="1" a="1"/>
  <c r="F142" i="1" a="1"/>
  <c r="F149" i="1" a="1"/>
  <c r="F156" i="1" a="1"/>
  <c r="F163" i="1" a="1"/>
  <c r="F170" i="1" a="1"/>
  <c r="F177" i="1" a="1"/>
  <c r="F184" i="1" a="1"/>
  <c r="F185" i="1" a="1"/>
  <c r="F82" i="1" a="1"/>
  <c r="F110" i="1" a="1"/>
  <c r="F180" i="1" a="1"/>
  <c r="F76" i="1" a="1"/>
  <c r="F111" i="1" a="1"/>
  <c r="F146" i="1" a="1"/>
  <c r="F124" i="1" a="1"/>
  <c r="F62" i="1" a="1"/>
  <c r="F132" i="1" a="1"/>
  <c r="F181" i="1" a="1"/>
  <c r="F17" i="1" a="1"/>
  <c r="F24" i="1" a="1"/>
  <c r="F31" i="1" a="1"/>
  <c r="F38" i="1" a="1"/>
  <c r="F59" i="1" a="1"/>
  <c r="F73" i="1" a="1"/>
  <c r="F80" i="1" a="1"/>
  <c r="F87" i="1" a="1"/>
  <c r="F94" i="1" a="1"/>
  <c r="F101" i="1" a="1"/>
  <c r="F108" i="1" a="1"/>
  <c r="F115" i="1" a="1"/>
  <c r="F129" i="1" a="1"/>
  <c r="F143" i="1" a="1"/>
  <c r="F150" i="1" a="1"/>
  <c r="F157" i="1" a="1"/>
  <c r="F164" i="1" a="1"/>
  <c r="F171" i="1" a="1"/>
  <c r="F90" i="1" a="1"/>
  <c r="F118" i="1" a="1"/>
  <c r="F153" i="1" a="1"/>
  <c r="F188" i="1" a="1"/>
  <c r="F18" i="1" a="1"/>
  <c r="F25" i="1" a="1"/>
  <c r="F32" i="1" a="1"/>
  <c r="F39" i="1" a="1"/>
  <c r="F60" i="1" a="1"/>
  <c r="F67" i="1" a="1"/>
  <c r="F74" i="1" a="1"/>
  <c r="F81" i="1" a="1"/>
  <c r="F88" i="1" a="1"/>
  <c r="F95" i="1" a="1"/>
  <c r="F102" i="1" a="1"/>
  <c r="F109" i="1" a="1"/>
  <c r="F116" i="1" a="1"/>
  <c r="F123" i="1" a="1"/>
  <c r="F130" i="1" a="1"/>
  <c r="F144" i="1" a="1"/>
  <c r="F151" i="1" a="1"/>
  <c r="F158" i="1" a="1"/>
  <c r="F165" i="1" a="1"/>
  <c r="F172" i="1" a="1"/>
  <c r="F186" i="1" a="1"/>
  <c r="F19" i="1" a="1"/>
  <c r="F33" i="1" a="1"/>
  <c r="F40" i="1" a="1"/>
  <c r="F47" i="1" a="1"/>
  <c r="F54" i="1" a="1"/>
  <c r="F61" i="1" a="1"/>
  <c r="F68" i="1" a="1"/>
  <c r="F75" i="1" a="1"/>
  <c r="F89" i="1" a="1"/>
  <c r="F96" i="1" a="1"/>
  <c r="F103" i="1" a="1"/>
  <c r="F117" i="1" a="1"/>
  <c r="F131" i="1" a="1"/>
  <c r="F145" i="1" a="1"/>
  <c r="F152" i="1" a="1"/>
  <c r="F166" i="1" a="1"/>
  <c r="F173" i="1" a="1"/>
  <c r="F187" i="1" a="1"/>
  <c r="F41" i="1" a="1"/>
  <c r="F48" i="1" a="1"/>
  <c r="F55" i="1" a="1"/>
  <c r="F69" i="1" a="1"/>
  <c r="F83" i="1" a="1"/>
  <c r="F97" i="1" a="1"/>
  <c r="F125" i="1" a="1"/>
  <c r="F139" i="1" a="1"/>
  <c r="F167" i="1" a="1"/>
  <c r="F174" i="1" a="1"/>
  <c r="F21" i="1" a="1"/>
  <c r="F43" i="1" a="1"/>
  <c r="F70" i="1" a="1"/>
  <c r="F92" i="1" a="1"/>
  <c r="F119" i="1" a="1"/>
  <c r="F140" i="1" a="1"/>
  <c r="F113" i="1" a="1"/>
  <c r="F161" i="1" a="1"/>
  <c r="F22" i="1" a="1"/>
  <c r="F49" i="1" a="1"/>
  <c r="F71" i="1" a="1"/>
  <c r="F98" i="1" a="1"/>
  <c r="F120" i="1" a="1"/>
  <c r="F141" i="1" a="1"/>
  <c r="F182" i="1" a="1"/>
  <c r="F162" i="1" a="1"/>
  <c r="F28" i="1" a="1"/>
  <c r="F50" i="1" a="1"/>
  <c r="F77" i="1" a="1"/>
  <c r="F99" i="1" a="1"/>
  <c r="F183" i="1" a="1"/>
  <c r="F126" i="1" a="1"/>
  <c r="F147" i="1" a="1"/>
  <c r="F29" i="1" a="1"/>
  <c r="F56" i="1" a="1"/>
  <c r="F78" i="1" a="1"/>
  <c r="F168" i="1" a="1"/>
  <c r="F127" i="1" a="1"/>
  <c r="F148" i="1" a="1"/>
  <c r="F189" i="1" a="1"/>
  <c r="F106" i="1" a="1"/>
  <c r="F169" i="1" a="1"/>
  <c r="F133" i="1" a="1"/>
  <c r="F63" i="1" a="1"/>
  <c r="F134" i="1" a="1"/>
  <c r="F64" i="1" a="1"/>
  <c r="F155" i="1" a="1"/>
  <c r="F57" i="1" a="1"/>
  <c r="F36" i="1" a="1"/>
  <c r="F112" i="1" a="1"/>
  <c r="F154" i="1" a="1"/>
  <c r="F175" i="1" a="1"/>
  <c r="F42" i="1" a="1"/>
  <c r="F91" i="1" a="1"/>
  <c r="F176" i="1" a="1"/>
  <c r="F15" i="1" a="1"/>
  <c r="F10" i="1" a="1"/>
  <c r="F13" i="1" a="1"/>
  <c r="F12" i="1" a="1"/>
  <c r="F11" i="1" a="1"/>
  <c r="F9" i="1" a="1"/>
  <c r="F4" i="1" a="1"/>
  <c r="F6" i="1" a="1"/>
  <c r="F7" i="1" a="1"/>
  <c r="F5" i="1" a="1"/>
  <c r="F3" i="1" a="1"/>
  <c r="F176" i="1" l="1"/>
  <c r="F91" i="1"/>
  <c r="F42" i="1"/>
  <c r="F175" i="1"/>
  <c r="F154" i="1"/>
  <c r="F112" i="1"/>
  <c r="F36" i="1"/>
  <c r="F57" i="1"/>
  <c r="F155" i="1"/>
  <c r="F64" i="1"/>
  <c r="F134" i="1"/>
  <c r="F63" i="1"/>
  <c r="F133" i="1"/>
  <c r="F169" i="1"/>
  <c r="F106" i="1"/>
  <c r="F189" i="1"/>
  <c r="F148" i="1"/>
  <c r="F127" i="1"/>
  <c r="F168" i="1"/>
  <c r="F78" i="1"/>
  <c r="F56" i="1"/>
  <c r="F29" i="1"/>
  <c r="F147" i="1"/>
  <c r="F126" i="1"/>
  <c r="F183" i="1"/>
  <c r="F99" i="1"/>
  <c r="F77" i="1"/>
  <c r="F50" i="1"/>
  <c r="F28" i="1"/>
  <c r="F162" i="1"/>
  <c r="F182" i="1"/>
  <c r="F141" i="1"/>
  <c r="F120" i="1"/>
  <c r="F98" i="1"/>
  <c r="F71" i="1"/>
  <c r="F49" i="1"/>
  <c r="F22" i="1"/>
  <c r="F161" i="1"/>
  <c r="F113" i="1"/>
  <c r="F140" i="1"/>
  <c r="F119" i="1"/>
  <c r="F92" i="1"/>
  <c r="F70" i="1"/>
  <c r="F43" i="1"/>
  <c r="F21" i="1"/>
  <c r="F174" i="1"/>
  <c r="F167" i="1"/>
  <c r="F139" i="1"/>
  <c r="F125" i="1"/>
  <c r="F97" i="1"/>
  <c r="F83" i="1"/>
  <c r="F69" i="1"/>
  <c r="F55" i="1"/>
  <c r="F48" i="1"/>
  <c r="F41" i="1"/>
  <c r="F187" i="1"/>
  <c r="F173" i="1"/>
  <c r="F166" i="1"/>
  <c r="F152" i="1"/>
  <c r="F145" i="1"/>
  <c r="F131" i="1"/>
  <c r="F117" i="1"/>
  <c r="F103" i="1"/>
  <c r="F96" i="1"/>
  <c r="F89" i="1"/>
  <c r="F75" i="1"/>
  <c r="F68" i="1"/>
  <c r="F61" i="1"/>
  <c r="F54" i="1"/>
  <c r="F47" i="1"/>
  <c r="F40" i="1"/>
  <c r="F33" i="1"/>
  <c r="F19" i="1"/>
  <c r="F186" i="1"/>
  <c r="F172" i="1"/>
  <c r="F165" i="1"/>
  <c r="F158" i="1"/>
  <c r="F151" i="1"/>
  <c r="F144" i="1"/>
  <c r="F130" i="1"/>
  <c r="F123" i="1"/>
  <c r="F116" i="1"/>
  <c r="F109" i="1"/>
  <c r="F102" i="1"/>
  <c r="F95" i="1"/>
  <c r="F88" i="1"/>
  <c r="F81" i="1"/>
  <c r="F74" i="1"/>
  <c r="F67" i="1"/>
  <c r="F60" i="1"/>
  <c r="F39" i="1"/>
  <c r="F32" i="1"/>
  <c r="F25" i="1"/>
  <c r="F18" i="1"/>
  <c r="F188" i="1"/>
  <c r="F153" i="1"/>
  <c r="F118" i="1"/>
  <c r="F90" i="1"/>
  <c r="F171" i="1"/>
  <c r="F164" i="1"/>
  <c r="F157" i="1"/>
  <c r="F150" i="1"/>
  <c r="F143" i="1"/>
  <c r="F129" i="1"/>
  <c r="F115" i="1"/>
  <c r="F108" i="1"/>
  <c r="F101" i="1"/>
  <c r="F94" i="1"/>
  <c r="F87" i="1"/>
  <c r="F80" i="1"/>
  <c r="F73" i="1"/>
  <c r="F59" i="1"/>
  <c r="F38" i="1"/>
  <c r="F31" i="1"/>
  <c r="F24" i="1"/>
  <c r="F17" i="1"/>
  <c r="F181" i="1"/>
  <c r="F132" i="1"/>
  <c r="F62" i="1"/>
  <c r="F124" i="1"/>
  <c r="F146" i="1"/>
  <c r="F111" i="1"/>
  <c r="F76" i="1"/>
  <c r="F180" i="1"/>
  <c r="F110" i="1"/>
  <c r="F82" i="1"/>
  <c r="F185" i="1"/>
  <c r="F184" i="1"/>
  <c r="F177" i="1"/>
  <c r="F170" i="1"/>
  <c r="F163" i="1"/>
  <c r="F156" i="1"/>
  <c r="F149" i="1"/>
  <c r="F142" i="1"/>
  <c r="F128" i="1"/>
  <c r="F114" i="1"/>
  <c r="F107" i="1"/>
  <c r="F100" i="1"/>
  <c r="F93" i="1"/>
  <c r="F86" i="1"/>
  <c r="F79" i="1"/>
  <c r="F72" i="1"/>
  <c r="F58" i="1"/>
  <c r="F51" i="1"/>
  <c r="F44" i="1"/>
  <c r="F37" i="1"/>
  <c r="F30" i="1"/>
  <c r="F23" i="1"/>
  <c r="F16" i="1"/>
  <c r="F15" i="1"/>
  <c r="F11" i="1"/>
  <c r="F12" i="1"/>
  <c r="F13" i="1"/>
  <c r="F10" i="1"/>
  <c r="F9" i="1"/>
  <c r="F5" i="1"/>
  <c r="F7" i="1"/>
  <c r="F6" i="1"/>
  <c r="F4" i="1"/>
  <c r="F3" i="1"/>
  <c r="F13" i="2"/>
  <c r="F11" i="2"/>
  <c r="F10" i="2"/>
  <c r="F9" i="2"/>
  <c r="F8" i="2"/>
  <c r="E11" i="2"/>
  <c r="E13" i="2"/>
  <c r="E12" i="2"/>
  <c r="E10" i="2"/>
  <c r="E9" i="2"/>
  <c r="E8" i="2"/>
  <c r="C182" i="1" l="1" a="1"/>
  <c r="C76" i="1" a="1"/>
  <c r="C183" i="1" a="1"/>
  <c r="C56" i="1" a="1"/>
  <c r="C68" i="1" a="1"/>
  <c r="C154" i="1" a="1"/>
  <c r="C75" i="1" a="1"/>
  <c r="C91" i="1" a="1"/>
  <c r="C173" i="1" a="1"/>
  <c r="C11" i="1" a="1"/>
  <c r="C19" i="1" a="1"/>
  <c r="C61" i="1" a="1"/>
  <c r="C169" i="1" a="1"/>
  <c r="C43" i="1" a="1"/>
  <c r="C134" i="1" a="1"/>
  <c r="C71" i="1" a="1"/>
  <c r="C41" i="1" a="1"/>
  <c r="C22" i="1" a="1"/>
  <c r="C106" i="1" a="1"/>
  <c r="C111" i="1" a="1"/>
  <c r="C185" i="1" a="1"/>
  <c r="C62" i="1" a="1"/>
  <c r="C126" i="1" a="1"/>
  <c r="C166" i="1" a="1"/>
  <c r="C188" i="1" a="1"/>
  <c r="C102" i="1" a="1"/>
  <c r="C87" i="1" a="1"/>
  <c r="C30" i="1" a="1"/>
  <c r="C4" i="1" a="1"/>
  <c r="C143" i="1" a="1"/>
  <c r="C13" i="1" a="1"/>
  <c r="C69" i="1" a="1"/>
  <c r="C130" i="1" a="1"/>
  <c r="C163" i="1" a="1"/>
  <c r="C123" i="1" a="1"/>
  <c r="C100" i="1" a="1"/>
  <c r="C72" i="1" a="1"/>
  <c r="C128" i="1" a="1"/>
  <c r="C16" i="1" a="1"/>
  <c r="C49" i="1" a="1"/>
  <c r="C9" i="1" a="1"/>
  <c r="C117" i="1" a="1"/>
  <c r="C77" i="1" a="1"/>
  <c r="C88" i="1" a="1"/>
  <c r="C95" i="1" a="1"/>
  <c r="C37" i="1" a="1"/>
  <c r="C82" i="1" a="1"/>
  <c r="C60" i="1" a="1"/>
  <c r="C175" i="1" a="1"/>
  <c r="C94" i="1" a="1"/>
  <c r="C124" i="1" a="1"/>
  <c r="C158" i="1" a="1"/>
  <c r="C54" i="1" a="1"/>
  <c r="C149" i="1" a="1"/>
  <c r="C86" i="1" a="1"/>
  <c r="C116" i="1" a="1"/>
  <c r="C151" i="1" a="1"/>
  <c r="C133" i="1" a="1"/>
  <c r="C7" i="1" a="1"/>
  <c r="C38" i="1" a="1"/>
  <c r="C145" i="1" a="1"/>
  <c r="C40" i="1" a="1"/>
  <c r="C29" i="1" a="1"/>
  <c r="C152" i="1" a="1"/>
  <c r="C131" i="1" a="1"/>
  <c r="C184" i="1" a="1"/>
  <c r="C81" i="1" a="1"/>
  <c r="C83" i="1" a="1"/>
  <c r="C155" i="1" a="1"/>
  <c r="C12" i="1" a="1"/>
  <c r="C127" i="1" a="1"/>
  <c r="C24" i="1" a="1"/>
  <c r="C150" i="1" a="1"/>
  <c r="C42" i="1" a="1"/>
  <c r="C33" i="1" a="1"/>
  <c r="C109" i="1" a="1"/>
  <c r="C67" i="1" a="1"/>
  <c r="C176" i="1" a="1"/>
  <c r="C146" i="1" a="1"/>
  <c r="C18" i="1" a="1"/>
  <c r="C57" i="1" a="1"/>
  <c r="C21" i="1" a="1"/>
  <c r="C140" i="1" a="1"/>
  <c r="C74" i="1" a="1"/>
  <c r="C157" i="1" a="1"/>
  <c r="C114" i="1" a="1"/>
  <c r="C165" i="1" a="1"/>
  <c r="C31" i="1" a="1"/>
  <c r="C167" i="1" a="1"/>
  <c r="C171" i="1" a="1"/>
  <c r="C89" i="1" a="1"/>
  <c r="C112" i="1" a="1"/>
  <c r="C186" i="1" a="1"/>
  <c r="C47" i="1" a="1"/>
  <c r="C118" i="1" a="1"/>
  <c r="C164" i="1" a="1"/>
  <c r="C189" i="1" a="1"/>
  <c r="C101" i="1" a="1"/>
  <c r="C36" i="1" a="1"/>
  <c r="C28" i="1" a="1"/>
  <c r="C113" i="1" a="1"/>
  <c r="C108" i="1" a="1"/>
  <c r="C23" i="1" a="1"/>
  <c r="C125" i="1" a="1"/>
  <c r="C139" i="1" a="1"/>
  <c r="C48" i="1" a="1"/>
  <c r="C147" i="1" a="1"/>
  <c r="C93" i="1" a="1"/>
  <c r="C148" i="1" a="1"/>
  <c r="C156" i="1" a="1"/>
  <c r="C120" i="1" a="1"/>
  <c r="C144" i="1" a="1"/>
  <c r="C153" i="1" a="1"/>
  <c r="C98" i="1" a="1"/>
  <c r="C79" i="1" a="1"/>
  <c r="C78" i="1" a="1"/>
  <c r="C181" i="1" a="1"/>
  <c r="C99" i="1" a="1"/>
  <c r="C25" i="1" a="1"/>
  <c r="C119" i="1" a="1"/>
  <c r="C63" i="1" a="1"/>
  <c r="C6" i="1" a="1"/>
  <c r="C5" i="1" a="1"/>
  <c r="C80" i="1" a="1"/>
  <c r="C141" i="1" a="1"/>
  <c r="C162" i="1" a="1"/>
  <c r="C59" i="1" a="1"/>
  <c r="C132" i="1" a="1"/>
  <c r="C187" i="1" a="1"/>
  <c r="C58" i="1" a="1"/>
  <c r="C39" i="1" a="1"/>
  <c r="C73" i="1" a="1"/>
  <c r="C161" i="1" a="1"/>
  <c r="C70" i="1" a="1"/>
  <c r="C92" i="1" a="1"/>
  <c r="C170" i="1" a="1"/>
  <c r="C90" i="1" a="1"/>
  <c r="C110" i="1" a="1"/>
  <c r="C103" i="1" a="1"/>
  <c r="C97" i="1" a="1"/>
  <c r="C129" i="1" a="1"/>
  <c r="C50" i="1" a="1"/>
  <c r="C17" i="1" a="1"/>
  <c r="C3" i="1" a="1"/>
  <c r="C174" i="1" a="1"/>
  <c r="C64" i="1" a="1"/>
  <c r="C142" i="1" a="1"/>
  <c r="C32" i="1" a="1"/>
  <c r="C55" i="1" a="1"/>
  <c r="C96" i="1" a="1"/>
  <c r="C44" i="1" a="1"/>
  <c r="C10" i="1" a="1"/>
  <c r="C168" i="1" a="1"/>
  <c r="C115" i="1" a="1"/>
  <c r="C15" i="1" a="1"/>
  <c r="C51" i="1" a="1"/>
  <c r="C180" i="1" a="1"/>
  <c r="C177" i="1" a="1"/>
  <c r="C172" i="1" a="1"/>
  <c r="C107" i="1" a="1"/>
  <c r="D141" i="1" a="1"/>
  <c r="D90" i="1" a="1"/>
  <c r="D175" i="1" a="1"/>
  <c r="D150" i="1" a="1"/>
  <c r="D144" i="1" a="1"/>
  <c r="D109" i="1" a="1"/>
  <c r="D106" i="1" a="1"/>
  <c r="D174" i="1" a="1"/>
  <c r="D181" i="1" a="1"/>
  <c r="D49" i="1" a="1"/>
  <c r="D83" i="1" a="1"/>
  <c r="D77" i="1" a="1"/>
  <c r="D18" i="1" a="1"/>
  <c r="D25" i="1" a="1"/>
  <c r="D183" i="1" a="1"/>
  <c r="D151" i="1" a="1"/>
  <c r="D169" i="1" a="1"/>
  <c r="D21" i="1" a="1"/>
  <c r="D64" i="1" a="1"/>
  <c r="D56" i="1" a="1"/>
  <c r="D50" i="1" a="1"/>
  <c r="D60" i="1" a="1"/>
  <c r="D28" i="1" a="1"/>
  <c r="D63" i="1" a="1"/>
  <c r="D71" i="1" a="1"/>
  <c r="D94" i="1" a="1"/>
  <c r="D19" i="1" a="1"/>
  <c r="D24" i="1" a="1"/>
  <c r="D70" i="1" a="1"/>
  <c r="D16" i="1" a="1"/>
  <c r="D111" i="1" a="1"/>
  <c r="D182" i="1" a="1"/>
  <c r="D97" i="1" a="1"/>
  <c r="D93" i="1" a="1"/>
  <c r="D9" i="1" a="1"/>
  <c r="D125" i="1" a="1"/>
  <c r="D143" i="1" a="1"/>
  <c r="D186" i="1" a="1"/>
  <c r="D33" i="1" a="1"/>
  <c r="D89" i="1" a="1"/>
  <c r="D17" i="1" a="1"/>
  <c r="D172" i="1" a="1"/>
  <c r="D54" i="1" a="1"/>
  <c r="D81" i="1" a="1"/>
  <c r="D153" i="1" a="1"/>
  <c r="D31" i="1" a="1"/>
  <c r="D82" i="1" a="1"/>
  <c r="D87" i="1" a="1"/>
  <c r="D42" i="1" a="1"/>
  <c r="D112" i="1" a="1"/>
  <c r="D61" i="1" a="1"/>
  <c r="D57" i="1" a="1"/>
  <c r="D88" i="1" a="1"/>
  <c r="D124" i="1" a="1"/>
  <c r="D149" i="1" a="1"/>
  <c r="D29" i="1" a="1"/>
  <c r="D123" i="1" a="1"/>
  <c r="D55" i="1" a="1"/>
  <c r="D79" i="1" a="1"/>
  <c r="D91" i="1" a="1"/>
  <c r="D171" i="1" a="1"/>
  <c r="D80" i="1" a="1"/>
  <c r="D113" i="1" a="1"/>
  <c r="D48" i="1" a="1"/>
  <c r="D148" i="1" a="1"/>
  <c r="D37" i="1" a="1"/>
  <c r="D32" i="1" a="1"/>
  <c r="D99" i="1" a="1"/>
  <c r="D139" i="1" a="1"/>
  <c r="D145" i="1" a="1"/>
  <c r="D177" i="1" a="1"/>
  <c r="D118" i="1" a="1"/>
  <c r="D40" i="1" a="1"/>
  <c r="D187" i="1" a="1"/>
  <c r="D133" i="1" a="1"/>
  <c r="D12" i="1" a="1"/>
  <c r="D72" i="1" a="1"/>
  <c r="D30" i="1" a="1"/>
  <c r="D129" i="1" a="1"/>
  <c r="D184" i="1" a="1"/>
  <c r="D167" i="1" a="1"/>
  <c r="D75" i="1" a="1"/>
  <c r="D5" i="1" a="1"/>
  <c r="D126" i="1" a="1"/>
  <c r="D140" i="1" a="1"/>
  <c r="D180" i="1" a="1"/>
  <c r="D157" i="1" a="1"/>
  <c r="D114" i="1" a="1"/>
  <c r="D163" i="1" a="1"/>
  <c r="D146" i="1" a="1"/>
  <c r="D156" i="1" a="1"/>
  <c r="D110" i="1" a="1"/>
  <c r="D185" i="1" a="1"/>
  <c r="D134" i="1" a="1"/>
  <c r="D176" i="1" a="1"/>
  <c r="D73" i="1" a="1"/>
  <c r="D96" i="1" a="1"/>
  <c r="D120" i="1" a="1"/>
  <c r="D76" i="1" a="1"/>
  <c r="D147" i="1" a="1"/>
  <c r="D36" i="1" a="1"/>
  <c r="D161" i="1" a="1"/>
  <c r="D168" i="1" a="1"/>
  <c r="D59" i="1" a="1"/>
  <c r="D152" i="1" a="1"/>
  <c r="D152" i="1" l="1"/>
  <c r="D59" i="1"/>
  <c r="D168" i="1"/>
  <c r="D161" i="1"/>
  <c r="D36" i="1"/>
  <c r="D147" i="1"/>
  <c r="D76" i="1"/>
  <c r="D120" i="1"/>
  <c r="D96" i="1"/>
  <c r="D73" i="1"/>
  <c r="D176" i="1"/>
  <c r="D134" i="1"/>
  <c r="D185" i="1"/>
  <c r="D110" i="1"/>
  <c r="D156" i="1"/>
  <c r="D146" i="1"/>
  <c r="D163" i="1"/>
  <c r="D114" i="1"/>
  <c r="D157" i="1"/>
  <c r="D180" i="1"/>
  <c r="D140" i="1"/>
  <c r="D126" i="1"/>
  <c r="D5" i="1"/>
  <c r="D75" i="1"/>
  <c r="D167" i="1"/>
  <c r="D184" i="1"/>
  <c r="D129" i="1"/>
  <c r="D30" i="1"/>
  <c r="D72" i="1"/>
  <c r="D12" i="1"/>
  <c r="D133" i="1"/>
  <c r="D187" i="1"/>
  <c r="D40" i="1"/>
  <c r="D118" i="1"/>
  <c r="D177" i="1"/>
  <c r="D145" i="1"/>
  <c r="D139" i="1"/>
  <c r="D99" i="1"/>
  <c r="D32" i="1"/>
  <c r="D37" i="1"/>
  <c r="D148" i="1"/>
  <c r="D48" i="1"/>
  <c r="D113" i="1"/>
  <c r="D80" i="1"/>
  <c r="D171" i="1"/>
  <c r="D91" i="1"/>
  <c r="D79" i="1"/>
  <c r="D55" i="1"/>
  <c r="D123" i="1"/>
  <c r="D29" i="1"/>
  <c r="D149" i="1"/>
  <c r="D124" i="1"/>
  <c r="D88" i="1"/>
  <c r="D57" i="1"/>
  <c r="D61" i="1"/>
  <c r="D112" i="1"/>
  <c r="D42" i="1"/>
  <c r="D87" i="1"/>
  <c r="D82" i="1"/>
  <c r="D31" i="1"/>
  <c r="D153" i="1"/>
  <c r="D81" i="1"/>
  <c r="D54" i="1"/>
  <c r="D172" i="1"/>
  <c r="D17" i="1"/>
  <c r="D89" i="1"/>
  <c r="D33" i="1"/>
  <c r="D186" i="1"/>
  <c r="D143" i="1"/>
  <c r="D125" i="1"/>
  <c r="D9" i="1"/>
  <c r="D93" i="1"/>
  <c r="D97" i="1"/>
  <c r="D182" i="1"/>
  <c r="D111" i="1"/>
  <c r="D16" i="1"/>
  <c r="D70" i="1"/>
  <c r="D24" i="1"/>
  <c r="D19" i="1"/>
  <c r="D94" i="1"/>
  <c r="D71" i="1"/>
  <c r="D63" i="1"/>
  <c r="D28" i="1"/>
  <c r="D60" i="1"/>
  <c r="D50" i="1"/>
  <c r="D56" i="1"/>
  <c r="D64" i="1"/>
  <c r="D21" i="1"/>
  <c r="D169" i="1"/>
  <c r="D151" i="1"/>
  <c r="D183" i="1"/>
  <c r="D25" i="1"/>
  <c r="D18" i="1"/>
  <c r="D77" i="1"/>
  <c r="D83" i="1"/>
  <c r="D49" i="1"/>
  <c r="D181" i="1"/>
  <c r="D174" i="1"/>
  <c r="D106" i="1"/>
  <c r="D109" i="1"/>
  <c r="D144" i="1"/>
  <c r="D150" i="1"/>
  <c r="D175" i="1"/>
  <c r="D90" i="1"/>
  <c r="D141" i="1"/>
  <c r="C107" i="1"/>
  <c r="C172" i="1"/>
  <c r="C177" i="1"/>
  <c r="C180" i="1"/>
  <c r="C51" i="1"/>
  <c r="C15" i="1"/>
  <c r="C115" i="1"/>
  <c r="C168" i="1"/>
  <c r="C10" i="1"/>
  <c r="C44" i="1"/>
  <c r="C96" i="1"/>
  <c r="C55" i="1"/>
  <c r="C32" i="1"/>
  <c r="C142" i="1"/>
  <c r="C64" i="1"/>
  <c r="C174" i="1"/>
  <c r="C3" i="1"/>
  <c r="C17" i="1"/>
  <c r="C50" i="1"/>
  <c r="C129" i="1"/>
  <c r="C97" i="1"/>
  <c r="C103" i="1"/>
  <c r="C110" i="1"/>
  <c r="C90" i="1"/>
  <c r="C170" i="1"/>
  <c r="C92" i="1"/>
  <c r="C70" i="1"/>
  <c r="C161" i="1"/>
  <c r="C73" i="1"/>
  <c r="C39" i="1"/>
  <c r="C58" i="1"/>
  <c r="C187" i="1"/>
  <c r="C132" i="1"/>
  <c r="C59" i="1"/>
  <c r="C162" i="1"/>
  <c r="C141" i="1"/>
  <c r="C80" i="1"/>
  <c r="C5" i="1"/>
  <c r="C6" i="1"/>
  <c r="C63" i="1"/>
  <c r="C119" i="1"/>
  <c r="C25" i="1"/>
  <c r="C99" i="1"/>
  <c r="C181" i="1"/>
  <c r="C78" i="1"/>
  <c r="C79" i="1"/>
  <c r="C98" i="1"/>
  <c r="C153" i="1"/>
  <c r="C144" i="1"/>
  <c r="C120" i="1"/>
  <c r="C156" i="1"/>
  <c r="C148" i="1"/>
  <c r="C93" i="1"/>
  <c r="C147" i="1"/>
  <c r="C48" i="1"/>
  <c r="C139" i="1"/>
  <c r="C125" i="1"/>
  <c r="C23" i="1"/>
  <c r="C108" i="1"/>
  <c r="C113" i="1"/>
  <c r="C28" i="1"/>
  <c r="C36" i="1"/>
  <c r="C101" i="1"/>
  <c r="C189" i="1"/>
  <c r="C164" i="1"/>
  <c r="C118" i="1"/>
  <c r="C47" i="1"/>
  <c r="C186" i="1"/>
  <c r="C112" i="1"/>
  <c r="C89" i="1"/>
  <c r="C171" i="1"/>
  <c r="C167" i="1"/>
  <c r="C31" i="1"/>
  <c r="C165" i="1"/>
  <c r="C114" i="1"/>
  <c r="C157" i="1"/>
  <c r="C74" i="1"/>
  <c r="C140" i="1"/>
  <c r="C21" i="1"/>
  <c r="C57" i="1"/>
  <c r="C18" i="1"/>
  <c r="C146" i="1"/>
  <c r="C176" i="1"/>
  <c r="C67" i="1"/>
  <c r="C109" i="1"/>
  <c r="C33" i="1"/>
  <c r="C42" i="1"/>
  <c r="C150" i="1"/>
  <c r="C24" i="1"/>
  <c r="C127" i="1"/>
  <c r="C12" i="1"/>
  <c r="C155" i="1"/>
  <c r="C83" i="1"/>
  <c r="C81" i="1"/>
  <c r="C184" i="1"/>
  <c r="C131" i="1"/>
  <c r="C152" i="1"/>
  <c r="C29" i="1"/>
  <c r="C40" i="1"/>
  <c r="C145" i="1"/>
  <c r="C38" i="1"/>
  <c r="C7" i="1"/>
  <c r="C133" i="1"/>
  <c r="C151" i="1"/>
  <c r="C116" i="1"/>
  <c r="C86" i="1"/>
  <c r="C149" i="1"/>
  <c r="C54" i="1"/>
  <c r="C158" i="1"/>
  <c r="C124" i="1"/>
  <c r="C94" i="1"/>
  <c r="C175" i="1"/>
  <c r="C60" i="1"/>
  <c r="C82" i="1"/>
  <c r="C37" i="1"/>
  <c r="C95" i="1"/>
  <c r="C88" i="1"/>
  <c r="C77" i="1"/>
  <c r="C117" i="1"/>
  <c r="C9" i="1"/>
  <c r="C49" i="1"/>
  <c r="C16" i="1"/>
  <c r="C128" i="1"/>
  <c r="C72" i="1"/>
  <c r="C100" i="1"/>
  <c r="C123" i="1"/>
  <c r="C163" i="1"/>
  <c r="C130" i="1"/>
  <c r="C69" i="1"/>
  <c r="C13" i="1"/>
  <c r="C143" i="1"/>
  <c r="C4" i="1"/>
  <c r="C30" i="1"/>
  <c r="C87" i="1"/>
  <c r="C102" i="1"/>
  <c r="C188" i="1"/>
  <c r="C166" i="1"/>
  <c r="C126" i="1"/>
  <c r="C62" i="1"/>
  <c r="C185" i="1"/>
  <c r="C111" i="1"/>
  <c r="C106" i="1"/>
  <c r="C22" i="1"/>
  <c r="C41" i="1"/>
  <c r="C71" i="1"/>
  <c r="C134" i="1"/>
  <c r="C43" i="1"/>
  <c r="C169" i="1"/>
  <c r="C61" i="1"/>
  <c r="C19" i="1"/>
  <c r="C11" i="1"/>
  <c r="C173" i="1"/>
  <c r="C91" i="1"/>
  <c r="C75" i="1"/>
  <c r="C154" i="1"/>
  <c r="C68" i="1"/>
  <c r="C56" i="1"/>
  <c r="C183" i="1"/>
  <c r="C76" i="1"/>
  <c r="C182" i="1"/>
  <c r="D103" i="1" a="1"/>
  <c r="D189" i="1" a="1"/>
  <c r="D155" i="1" a="1"/>
  <c r="D95" i="1" a="1"/>
  <c r="D13" i="1" a="1"/>
  <c r="D41" i="1" a="1"/>
  <c r="D102" i="1" a="1"/>
  <c r="D10" i="1" a="1"/>
  <c r="D164" i="1" a="1"/>
  <c r="D3" i="1" a="1"/>
  <c r="D62" i="1" a="1"/>
  <c r="D38" i="1" a="1"/>
  <c r="D162" i="1" a="1"/>
  <c r="D101" i="1" a="1"/>
  <c r="D44" i="1" a="1"/>
  <c r="D116" i="1" a="1"/>
  <c r="D4" i="1" a="1"/>
  <c r="D119" i="1" a="1"/>
  <c r="D142" i="1" a="1"/>
  <c r="D78" i="1" a="1"/>
  <c r="D130" i="1" a="1"/>
  <c r="D170" i="1" a="1"/>
  <c r="D6" i="1" a="1"/>
  <c r="D47" i="1" a="1"/>
  <c r="D86" i="1" a="1"/>
  <c r="D117" i="1" a="1"/>
  <c r="D43" i="1" a="1"/>
  <c r="D131" i="1" a="1"/>
  <c r="D67" i="1" a="1"/>
  <c r="D188" i="1" a="1"/>
  <c r="D58" i="1" a="1"/>
  <c r="D98" i="1" a="1"/>
  <c r="D68" i="1" a="1"/>
  <c r="D74" i="1" a="1"/>
  <c r="D92" i="1" a="1"/>
  <c r="D158" i="1" a="1"/>
  <c r="D100" i="1" a="1"/>
  <c r="D165" i="1" a="1"/>
  <c r="D132" i="1" a="1"/>
  <c r="D154" i="1" a="1"/>
  <c r="D15" i="1" a="1"/>
  <c r="D115" i="1" a="1"/>
  <c r="D7" i="1" a="1"/>
  <c r="D107" i="1" a="1"/>
  <c r="D128" i="1" a="1"/>
  <c r="D166" i="1" a="1"/>
  <c r="D11" i="1" a="1"/>
  <c r="D39" i="1" a="1"/>
  <c r="D23" i="1" a="1"/>
  <c r="D173" i="1" a="1"/>
  <c r="D108" i="1" a="1"/>
  <c r="D51" i="1" a="1"/>
  <c r="D127" i="1" a="1"/>
  <c r="D22" i="1" a="1"/>
  <c r="D69" i="1" a="1"/>
  <c r="D69" i="1" l="1"/>
  <c r="D22" i="1"/>
  <c r="D127" i="1"/>
  <c r="D51" i="1"/>
  <c r="D108" i="1"/>
  <c r="D173" i="1"/>
  <c r="D23" i="1"/>
  <c r="D39" i="1"/>
  <c r="D11" i="1"/>
  <c r="D166" i="1"/>
  <c r="D128" i="1"/>
  <c r="D107" i="1"/>
  <c r="D7" i="1"/>
  <c r="D115" i="1"/>
  <c r="D15" i="1"/>
  <c r="D154" i="1"/>
  <c r="D132" i="1"/>
  <c r="D165" i="1"/>
  <c r="D100" i="1"/>
  <c r="D158" i="1"/>
  <c r="D92" i="1"/>
  <c r="D74" i="1"/>
  <c r="D68" i="1"/>
  <c r="D98" i="1"/>
  <c r="D58" i="1"/>
  <c r="D188" i="1"/>
  <c r="D67" i="1"/>
  <c r="D131" i="1"/>
  <c r="D43" i="1"/>
  <c r="D117" i="1"/>
  <c r="D86" i="1"/>
  <c r="D47" i="1"/>
  <c r="D6" i="1"/>
  <c r="D170" i="1"/>
  <c r="D130" i="1"/>
  <c r="D78" i="1"/>
  <c r="D142" i="1"/>
  <c r="D119" i="1"/>
  <c r="D4" i="1"/>
  <c r="D116" i="1"/>
  <c r="D44" i="1"/>
  <c r="D101" i="1"/>
  <c r="D162" i="1"/>
  <c r="D38" i="1"/>
  <c r="D62" i="1"/>
  <c r="D3" i="1"/>
  <c r="D164" i="1"/>
  <c r="D10" i="1"/>
  <c r="D102" i="1"/>
  <c r="D41" i="1"/>
  <c r="D13" i="1"/>
  <c r="D95" i="1"/>
  <c r="D155" i="1"/>
  <c r="D189" i="1"/>
  <c r="D10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<sst xmlns="http://schemas.openxmlformats.org/spreadsheetml/2006/main" count="664" uniqueCount="491">
  <si>
    <t>Color Name</t>
  </si>
  <si>
    <t>Long</t>
  </si>
  <si>
    <t>RGB</t>
  </si>
  <si>
    <t>HEX</t>
  </si>
  <si>
    <t>DANGER</t>
  </si>
  <si>
    <t>WARNING</t>
  </si>
  <si>
    <t>SUCCESS</t>
  </si>
  <si>
    <t>PRIMARY</t>
  </si>
  <si>
    <t>SECONDARY</t>
  </si>
  <si>
    <t>DANGER_LIGHT</t>
  </si>
  <si>
    <t>WARNING_LIGHT</t>
  </si>
  <si>
    <t>SUCCESS_LIGHT</t>
  </si>
  <si>
    <t>PRIMARY_LIGHT</t>
  </si>
  <si>
    <t>SECONDARY_LIGHT</t>
  </si>
  <si>
    <t>DANGER_DARK</t>
  </si>
  <si>
    <t>WARNING_DARK</t>
  </si>
  <si>
    <t>SUCCESS_DARK</t>
  </si>
  <si>
    <t>PRIMARY_DARK</t>
  </si>
  <si>
    <t>SECONDARY_DARK</t>
  </si>
  <si>
    <t>DANGER_DARKER</t>
  </si>
  <si>
    <t>WARNING_DARKER</t>
  </si>
  <si>
    <t>SUCCESS_DARKER</t>
  </si>
  <si>
    <t>PRIMARY_DARKER</t>
  </si>
  <si>
    <t>SECONDARY_DARKER</t>
  </si>
  <si>
    <t>MEDIUMVIOLETRED</t>
  </si>
  <si>
    <t>DEEPPINK</t>
  </si>
  <si>
    <t>PALEVIOLETRED</t>
  </si>
  <si>
    <t>HOTPINK</t>
  </si>
  <si>
    <t>LIGHTPINK</t>
  </si>
  <si>
    <t>PINK</t>
  </si>
  <si>
    <t>DARKRED</t>
  </si>
  <si>
    <t>RED</t>
  </si>
  <si>
    <t>FIREBRICK</t>
  </si>
  <si>
    <t>CRIMSON</t>
  </si>
  <si>
    <t>INDIANRED</t>
  </si>
  <si>
    <t>LIGHTCORAL</t>
  </si>
  <si>
    <t>SALMON</t>
  </si>
  <si>
    <t>DARKSALMON</t>
  </si>
  <si>
    <t>LIGHTSALMON</t>
  </si>
  <si>
    <t>ORANGERED</t>
  </si>
  <si>
    <t>TOMATO</t>
  </si>
  <si>
    <t>DARKORANGE</t>
  </si>
  <si>
    <t>CORAL</t>
  </si>
  <si>
    <t>ORANGE</t>
  </si>
  <si>
    <t>DARKKHAKI</t>
  </si>
  <si>
    <t>GOLD</t>
  </si>
  <si>
    <t>KHAKI</t>
  </si>
  <si>
    <t>PEACHPUFF</t>
  </si>
  <si>
    <t>YELLOW</t>
  </si>
  <si>
    <t>PALEGOLDENROD</t>
  </si>
  <si>
    <t>MOCCASIN</t>
  </si>
  <si>
    <t>PAPAYAWHIP</t>
  </si>
  <si>
    <t>LIGHTGOLDENRODYELLOW</t>
  </si>
  <si>
    <t>LEMONCHIFFON</t>
  </si>
  <si>
    <t>LIGHTYELLOW</t>
  </si>
  <si>
    <t>MAROON</t>
  </si>
  <si>
    <t>BROWN</t>
  </si>
  <si>
    <t>SADDLEBROWN</t>
  </si>
  <si>
    <t>SIENNA</t>
  </si>
  <si>
    <t>CHOCOLATE</t>
  </si>
  <si>
    <t>DARKGOLDENROD</t>
  </si>
  <si>
    <t>PERU</t>
  </si>
  <si>
    <t>ROSYBROWN</t>
  </si>
  <si>
    <t>GOLDENROD</t>
  </si>
  <si>
    <t>SANDYBROWN</t>
  </si>
  <si>
    <t>TAN</t>
  </si>
  <si>
    <t>BURLYWOOD</t>
  </si>
  <si>
    <t>WHEAT</t>
  </si>
  <si>
    <t>NAVAJOWHITE</t>
  </si>
  <si>
    <t>BISQUE</t>
  </si>
  <si>
    <t>BLANCHEDALMOND</t>
  </si>
  <si>
    <t>CORNSILK</t>
  </si>
  <si>
    <t>INDIGO</t>
  </si>
  <si>
    <t>PURPLE</t>
  </si>
  <si>
    <t>DARKMAGENTA</t>
  </si>
  <si>
    <t>DARKVIOLET</t>
  </si>
  <si>
    <t>DARKSLATEBLUE</t>
  </si>
  <si>
    <t>BLUEVIOLET</t>
  </si>
  <si>
    <t>DARKORCHID</t>
  </si>
  <si>
    <t>FUCHSIA</t>
  </si>
  <si>
    <t>MAGENTA</t>
  </si>
  <si>
    <t>SLATEBLUE</t>
  </si>
  <si>
    <t>MEDIUMSLATEBLUE</t>
  </si>
  <si>
    <t>MEDIUMORCHID</t>
  </si>
  <si>
    <t>MEDIUMPURPLE</t>
  </si>
  <si>
    <t>ORCHID</t>
  </si>
  <si>
    <t>VIOLET</t>
  </si>
  <si>
    <t>PLUM</t>
  </si>
  <si>
    <t>THISTLE</t>
  </si>
  <si>
    <t>LAVENDER</t>
  </si>
  <si>
    <t>MIDNIGHTBLUE</t>
  </si>
  <si>
    <t>NAVY</t>
  </si>
  <si>
    <t>DARKBLUE</t>
  </si>
  <si>
    <t>MEDIUMBLUE</t>
  </si>
  <si>
    <t>BLUE</t>
  </si>
  <si>
    <t>ROYALBLUE</t>
  </si>
  <si>
    <t>STEELBLUE</t>
  </si>
  <si>
    <t>DODGERBLUE</t>
  </si>
  <si>
    <t>DEEPSKYBLUE</t>
  </si>
  <si>
    <t>CORNFLOWERBLUE</t>
  </si>
  <si>
    <t>SKYBLUE</t>
  </si>
  <si>
    <t>LIGHTSKYBLUE</t>
  </si>
  <si>
    <t>LIGHTSTEELBLUE</t>
  </si>
  <si>
    <t>LIGHTBLUE</t>
  </si>
  <si>
    <t>POWDERBLUE</t>
  </si>
  <si>
    <t>TEAL</t>
  </si>
  <si>
    <t>DARKCYAN</t>
  </si>
  <si>
    <t>LIGHTSEAGREEN</t>
  </si>
  <si>
    <t>CADETBLUE</t>
  </si>
  <si>
    <t>DARKTURQUOISE</t>
  </si>
  <si>
    <t>MEDIUMTURQUOISE</t>
  </si>
  <si>
    <t>TURQUOISE</t>
  </si>
  <si>
    <t>AQUA</t>
  </si>
  <si>
    <t>CYAN</t>
  </si>
  <si>
    <t>AQUAMARINE</t>
  </si>
  <si>
    <t>PALETURQUOISE</t>
  </si>
  <si>
    <t>LIGHTCYAN</t>
  </si>
  <si>
    <t>DARKGREEN</t>
  </si>
  <si>
    <t>GREEN</t>
  </si>
  <si>
    <t>DARKOLIVEGREEN</t>
  </si>
  <si>
    <t>FORESTGREEN</t>
  </si>
  <si>
    <t>SEAGREEN</t>
  </si>
  <si>
    <t>OLIVE</t>
  </si>
  <si>
    <t>OLIVEDRAB</t>
  </si>
  <si>
    <t>MEDIUMSEAGREEN</t>
  </si>
  <si>
    <t>LIMEGREEN</t>
  </si>
  <si>
    <t>LIME</t>
  </si>
  <si>
    <t>SPRINGGREEN</t>
  </si>
  <si>
    <t>MEDIUMSPRINGGREEN</t>
  </si>
  <si>
    <t>DARKSEAGREEN</t>
  </si>
  <si>
    <t>MEDIUMAQUAMARINE</t>
  </si>
  <si>
    <t>YELLOWGREEN</t>
  </si>
  <si>
    <t>LAWNGREEN</t>
  </si>
  <si>
    <t>CHARTREUSE</t>
  </si>
  <si>
    <t>LIGHTGREEN</t>
  </si>
  <si>
    <t>GREENYELLOW</t>
  </si>
  <si>
    <t>PALEGREEN</t>
  </si>
  <si>
    <t>MISTYROSE</t>
  </si>
  <si>
    <t>ANTIQUEWHITE</t>
  </si>
  <si>
    <t>LINEN</t>
  </si>
  <si>
    <t>BEIGE</t>
  </si>
  <si>
    <t>WHITESMOKE</t>
  </si>
  <si>
    <t>LAVENDERBLUSH</t>
  </si>
  <si>
    <t>OLDLACE</t>
  </si>
  <si>
    <t>ALICEBLUE</t>
  </si>
  <si>
    <t>SEASHELL</t>
  </si>
  <si>
    <t>GHOSTWHITE</t>
  </si>
  <si>
    <t>HONEYDEW</t>
  </si>
  <si>
    <t>FLORALWHITE</t>
  </si>
  <si>
    <t>AZURE</t>
  </si>
  <si>
    <t>MINTCREAM</t>
  </si>
  <si>
    <t>SNOW</t>
  </si>
  <si>
    <t>IVORY</t>
  </si>
  <si>
    <t>WHITE</t>
  </si>
  <si>
    <t>BLACK</t>
  </si>
  <si>
    <t>DARKSLATEGRAY</t>
  </si>
  <si>
    <t>DIMGRAY</t>
  </si>
  <si>
    <t>SLATEGRAY</t>
  </si>
  <si>
    <t>GRAY</t>
  </si>
  <si>
    <t>LIGHTSLATEGRAY</t>
  </si>
  <si>
    <t>DARKGRAY</t>
  </si>
  <si>
    <t>SILVER</t>
  </si>
  <si>
    <t>LIGHTGRAY</t>
  </si>
  <si>
    <t>GAINSBORO</t>
  </si>
  <si>
    <t>W3 Web Colors</t>
  </si>
  <si>
    <t>Bootstrap Colors</t>
  </si>
  <si>
    <t>#ff6358</t>
  </si>
  <si>
    <t>#ffd246</t>
  </si>
  <si>
    <t>#78d237</t>
  </si>
  <si>
    <t>#28b4c8</t>
  </si>
  <si>
    <t>#2d73f5</t>
  </si>
  <si>
    <t>#aa46be</t>
  </si>
  <si>
    <t>Hue</t>
  </si>
  <si>
    <t>Sat</t>
  </si>
  <si>
    <t>Bright</t>
  </si>
  <si>
    <t>234, 134, 143</t>
  </si>
  <si>
    <t>#EA868F</t>
  </si>
  <si>
    <t>255, 218, 106</t>
  </si>
  <si>
    <t>#FFDA6A</t>
  </si>
  <si>
    <t>117, 168, 95</t>
  </si>
  <si>
    <t>#75A85F</t>
  </si>
  <si>
    <t>110, 168, 254</t>
  </si>
  <si>
    <t>#6EA8FE</t>
  </si>
  <si>
    <t>167, 172, 177</t>
  </si>
  <si>
    <t>#A7ACB1</t>
  </si>
  <si>
    <t>248, 215, 218</t>
  </si>
  <si>
    <t>#F8D7DA</t>
  </si>
  <si>
    <t>255, 243, 205</t>
  </si>
  <si>
    <t>#FFF3CD</t>
  </si>
  <si>
    <t>209, 231, 221</t>
  </si>
  <si>
    <t>#D1E7DD</t>
  </si>
  <si>
    <t>207, 226, 255</t>
  </si>
  <si>
    <t>#CFE2FF</t>
  </si>
  <si>
    <t>226, 227, 229</t>
  </si>
  <si>
    <t>#E2E3E5</t>
  </si>
  <si>
    <t>88, 21, 28</t>
  </si>
  <si>
    <t>#58151C</t>
  </si>
  <si>
    <t>102, 77, 3</t>
  </si>
  <si>
    <t>#664D03</t>
  </si>
  <si>
    <t>10, 54, 34</t>
  </si>
  <si>
    <t>#0A3622</t>
  </si>
  <si>
    <t>5, 44, 101</t>
  </si>
  <si>
    <t>#052C65</t>
  </si>
  <si>
    <t>43, 47, 50</t>
  </si>
  <si>
    <t>#2B2F32</t>
  </si>
  <si>
    <t>44, 6, 14</t>
  </si>
  <si>
    <t>#2C060E</t>
  </si>
  <si>
    <t>51, 39, 1</t>
  </si>
  <si>
    <t>#332701</t>
  </si>
  <si>
    <t>5, 27, 17</t>
  </si>
  <si>
    <t>#051B11</t>
  </si>
  <si>
    <t>3, 27, 51</t>
  </si>
  <si>
    <t>#031B33</t>
  </si>
  <si>
    <t>22, 23, 25</t>
  </si>
  <si>
    <t>#161719</t>
  </si>
  <si>
    <t>199, 21, 133</t>
  </si>
  <si>
    <t>#C71585</t>
  </si>
  <si>
    <t>255, 20, 147</t>
  </si>
  <si>
    <t>#FF1493</t>
  </si>
  <si>
    <t>219, 112, 147</t>
  </si>
  <si>
    <t>#DB7093</t>
  </si>
  <si>
    <t>255, 105, 180</t>
  </si>
  <si>
    <t>#FF69B4</t>
  </si>
  <si>
    <t>255, 182, 193</t>
  </si>
  <si>
    <t>#FFB6C1</t>
  </si>
  <si>
    <t>255, 192, 203</t>
  </si>
  <si>
    <t>#FFC0CB</t>
  </si>
  <si>
    <t>139, 0, 0</t>
  </si>
  <si>
    <t>#8B0000</t>
  </si>
  <si>
    <t>255, 0, 0</t>
  </si>
  <si>
    <t>#FF0000</t>
  </si>
  <si>
    <t>178, 34, 34</t>
  </si>
  <si>
    <t>#B22222</t>
  </si>
  <si>
    <t>220, 20, 60</t>
  </si>
  <si>
    <t>#DC143C</t>
  </si>
  <si>
    <t>205, 92, 92</t>
  </si>
  <si>
    <t>#CD5C5C</t>
  </si>
  <si>
    <t>240, 128, 128</t>
  </si>
  <si>
    <t>#F08080</t>
  </si>
  <si>
    <t>250, 128, 114</t>
  </si>
  <si>
    <t>#FA8072</t>
  </si>
  <si>
    <t>233, 150, 122</t>
  </si>
  <si>
    <t>#E9967A</t>
  </si>
  <si>
    <t>255, 160, 122</t>
  </si>
  <si>
    <t>#FFA07A</t>
  </si>
  <si>
    <t>255, 69, 0</t>
  </si>
  <si>
    <t>#FF4500</t>
  </si>
  <si>
    <t>255, 99, 71</t>
  </si>
  <si>
    <t>#FF6347</t>
  </si>
  <si>
    <t>255, 140, 0</t>
  </si>
  <si>
    <t>#FF8C00</t>
  </si>
  <si>
    <t>255, 127, 80</t>
  </si>
  <si>
    <t>#FF7F50</t>
  </si>
  <si>
    <t>255, 165, 0</t>
  </si>
  <si>
    <t>#FFA500</t>
  </si>
  <si>
    <t>189, 183, 107</t>
  </si>
  <si>
    <t>#BDB76B</t>
  </si>
  <si>
    <t>255, 215, 0</t>
  </si>
  <si>
    <t>#FFD700</t>
  </si>
  <si>
    <t>240, 230, 140</t>
  </si>
  <si>
    <t>#F0E68C</t>
  </si>
  <si>
    <t>255, 218, 185</t>
  </si>
  <si>
    <t>#FFDAB9</t>
  </si>
  <si>
    <t>255, 255, 0</t>
  </si>
  <si>
    <t>#FFFF00</t>
  </si>
  <si>
    <t>238, 232, 170</t>
  </si>
  <si>
    <t>#EEE8AA</t>
  </si>
  <si>
    <t>255, 228, 181</t>
  </si>
  <si>
    <t>#FFE4B5</t>
  </si>
  <si>
    <t>255, 239, 213</t>
  </si>
  <si>
    <t>#FFEFD5</t>
  </si>
  <si>
    <t>250, 250, 210</t>
  </si>
  <si>
    <t>#FAFAD2</t>
  </si>
  <si>
    <t>255, 250, 205</t>
  </si>
  <si>
    <t>#FFFACD</t>
  </si>
  <si>
    <t>255, 255, 224</t>
  </si>
  <si>
    <t>#FFFFE0</t>
  </si>
  <si>
    <t>128, 0, 0</t>
  </si>
  <si>
    <t>#800000</t>
  </si>
  <si>
    <t>165, 42, 42</t>
  </si>
  <si>
    <t>#A52A2A</t>
  </si>
  <si>
    <t>139, 69, 19</t>
  </si>
  <si>
    <t>#8B4513</t>
  </si>
  <si>
    <t>160, 82, 45</t>
  </si>
  <si>
    <t>#A0522D</t>
  </si>
  <si>
    <t>210, 105, 30</t>
  </si>
  <si>
    <t>#D2691E</t>
  </si>
  <si>
    <t>184, 134, 11</t>
  </si>
  <si>
    <t>#B8860B</t>
  </si>
  <si>
    <t>205, 133, 63</t>
  </si>
  <si>
    <t>#CD853F</t>
  </si>
  <si>
    <t>188, 143, 143</t>
  </si>
  <si>
    <t>#BC8F8F</t>
  </si>
  <si>
    <t>218, 165, 32</t>
  </si>
  <si>
    <t>#DAA520</t>
  </si>
  <si>
    <t>244, 164, 96</t>
  </si>
  <si>
    <t>#F4A460</t>
  </si>
  <si>
    <t>210, 180, 140</t>
  </si>
  <si>
    <t>#D2B48C</t>
  </si>
  <si>
    <t>222, 184, 135</t>
  </si>
  <si>
    <t>#DEB887</t>
  </si>
  <si>
    <t>245, 222, 179</t>
  </si>
  <si>
    <t>#F5DEB3</t>
  </si>
  <si>
    <t>255, 222, 173</t>
  </si>
  <si>
    <t>#FFDEAD</t>
  </si>
  <si>
    <t>255, 228, 196</t>
  </si>
  <si>
    <t>#FFE4C4</t>
  </si>
  <si>
    <t>255, 235, 205</t>
  </si>
  <si>
    <t>#FFEBCD</t>
  </si>
  <si>
    <t>255, 248, 220</t>
  </si>
  <si>
    <t>#FFF8DC</t>
  </si>
  <si>
    <t>75, 0, 130</t>
  </si>
  <si>
    <t>#4B0082</t>
  </si>
  <si>
    <t>128, 0, 128</t>
  </si>
  <si>
    <t>#800080</t>
  </si>
  <si>
    <t>139, 0, 139</t>
  </si>
  <si>
    <t>#8B008B</t>
  </si>
  <si>
    <t>148, 0, 211</t>
  </si>
  <si>
    <t>#9400D3</t>
  </si>
  <si>
    <t>72, 61, 139</t>
  </si>
  <si>
    <t>#483D8B</t>
  </si>
  <si>
    <t>138, 43, 226</t>
  </si>
  <si>
    <t>#8A2BE2</t>
  </si>
  <si>
    <t>153, 50, 204</t>
  </si>
  <si>
    <t>#9932CC</t>
  </si>
  <si>
    <t>255, 0, 255</t>
  </si>
  <si>
    <t>#FF00FF</t>
  </si>
  <si>
    <t>106, 90, 205</t>
  </si>
  <si>
    <t>#6A5ACD</t>
  </si>
  <si>
    <t>123, 104, 238</t>
  </si>
  <si>
    <t>#7B68EE</t>
  </si>
  <si>
    <t>186, 85, 211</t>
  </si>
  <si>
    <t>#BA55D3</t>
  </si>
  <si>
    <t>147, 112, 219</t>
  </si>
  <si>
    <t>#9370DB</t>
  </si>
  <si>
    <t>218, 112, 214</t>
  </si>
  <si>
    <t>#DA70D6</t>
  </si>
  <si>
    <t>238, 130, 238</t>
  </si>
  <si>
    <t>#EE82EE</t>
  </si>
  <si>
    <t>221, 160, 221</t>
  </si>
  <si>
    <t>#DDA0DD</t>
  </si>
  <si>
    <t>216, 191, 216</t>
  </si>
  <si>
    <t>#D8BFD8</t>
  </si>
  <si>
    <t>230, 230, 250</t>
  </si>
  <si>
    <t>#E6E6FA</t>
  </si>
  <si>
    <t>25, 25, 112</t>
  </si>
  <si>
    <t>#191970</t>
  </si>
  <si>
    <t>0, 0, 128</t>
  </si>
  <si>
    <t>#000080</t>
  </si>
  <si>
    <t>0, 0, 139</t>
  </si>
  <si>
    <t>#00008B</t>
  </si>
  <si>
    <t>0, 0, 205</t>
  </si>
  <si>
    <t>#0000CD</t>
  </si>
  <si>
    <t>0, 0, 255</t>
  </si>
  <si>
    <t>#0000FF</t>
  </si>
  <si>
    <t>65, 105, 225</t>
  </si>
  <si>
    <t>#4169E1</t>
  </si>
  <si>
    <t>70, 130, 180</t>
  </si>
  <si>
    <t>#4682B4</t>
  </si>
  <si>
    <t>30, 144, 255</t>
  </si>
  <si>
    <t>#1E90FF</t>
  </si>
  <si>
    <t>0, 191, 255</t>
  </si>
  <si>
    <t>#00BFFF</t>
  </si>
  <si>
    <t>100, 149, 237</t>
  </si>
  <si>
    <t>#6495ED</t>
  </si>
  <si>
    <t>135, 206, 235</t>
  </si>
  <si>
    <t>#87CEEB</t>
  </si>
  <si>
    <t>135, 206, 250</t>
  </si>
  <si>
    <t>#87CEFA</t>
  </si>
  <si>
    <t>176, 196, 222</t>
  </si>
  <si>
    <t>#B0C4DE</t>
  </si>
  <si>
    <t>173, 216, 230</t>
  </si>
  <si>
    <t>#ADD8E6</t>
  </si>
  <si>
    <t>176, 224, 230</t>
  </si>
  <si>
    <t>#B0E0E6</t>
  </si>
  <si>
    <t>0, 128, 128</t>
  </si>
  <si>
    <t>#008080</t>
  </si>
  <si>
    <t>0, 139, 139</t>
  </si>
  <si>
    <t>#008B8B</t>
  </si>
  <si>
    <t>32, 178, 170</t>
  </si>
  <si>
    <t>#20B2AA</t>
  </si>
  <si>
    <t>95, 158, 160</t>
  </si>
  <si>
    <t>#5F9EA0</t>
  </si>
  <si>
    <t>0, 206, 209</t>
  </si>
  <si>
    <t>#00CED1</t>
  </si>
  <si>
    <t>72, 209, 204</t>
  </si>
  <si>
    <t>#48D1CC</t>
  </si>
  <si>
    <t>64, 224, 208</t>
  </si>
  <si>
    <t>#40E0D0</t>
  </si>
  <si>
    <t>0, 255, 255</t>
  </si>
  <si>
    <t>#00FFFF</t>
  </si>
  <si>
    <t>127, 255, 212</t>
  </si>
  <si>
    <t>#7FFFD4</t>
  </si>
  <si>
    <t>175, 238, 238</t>
  </si>
  <si>
    <t>#AFEEEE</t>
  </si>
  <si>
    <t>224, 255, 255</t>
  </si>
  <si>
    <t>#E0FFFF</t>
  </si>
  <si>
    <t>0, 100, 0</t>
  </si>
  <si>
    <t>#006400</t>
  </si>
  <si>
    <t>0, 128, 0</t>
  </si>
  <si>
    <t>#008000</t>
  </si>
  <si>
    <t>85, 107, 47</t>
  </si>
  <si>
    <t>#556B2F</t>
  </si>
  <si>
    <t>34, 139, 34</t>
  </si>
  <si>
    <t>#228B22</t>
  </si>
  <si>
    <t>46, 139, 87</t>
  </si>
  <si>
    <t>#2E8B57</t>
  </si>
  <si>
    <t>128, 128, 0</t>
  </si>
  <si>
    <t>#808000</t>
  </si>
  <si>
    <t>107, 142, 35</t>
  </si>
  <si>
    <t>#6B8E23</t>
  </si>
  <si>
    <t>60, 179, 113</t>
  </si>
  <si>
    <t>#3CB371</t>
  </si>
  <si>
    <t>50, 205, 50</t>
  </si>
  <si>
    <t>#32CD32</t>
  </si>
  <si>
    <t>0, 255, 0</t>
  </si>
  <si>
    <t>#00FF00</t>
  </si>
  <si>
    <t>0, 255, 127</t>
  </si>
  <si>
    <t>#00FF7F</t>
  </si>
  <si>
    <t>0, 250, 154</t>
  </si>
  <si>
    <t>#00FA9A</t>
  </si>
  <si>
    <t>143, 188, 143</t>
  </si>
  <si>
    <t>#8FBC8F</t>
  </si>
  <si>
    <t>102, 205, 170</t>
  </si>
  <si>
    <t>#66CDAA</t>
  </si>
  <si>
    <t>154, 205, 50</t>
  </si>
  <si>
    <t>#9ACD32</t>
  </si>
  <si>
    <t>124, 252, 0</t>
  </si>
  <si>
    <t>#7CFC00</t>
  </si>
  <si>
    <t>127, 255, 0</t>
  </si>
  <si>
    <t>#7FFF00</t>
  </si>
  <si>
    <t>144, 238, 144</t>
  </si>
  <si>
    <t>#90EE90</t>
  </si>
  <si>
    <t>173, 255, 47</t>
  </si>
  <si>
    <t>#ADFF2F</t>
  </si>
  <si>
    <t>152, 251, 152</t>
  </si>
  <si>
    <t>#98FB98</t>
  </si>
  <si>
    <t>255, 228, 225</t>
  </si>
  <si>
    <t>#FFE4E1</t>
  </si>
  <si>
    <t>250, 235, 215</t>
  </si>
  <si>
    <t>#FAEBD7</t>
  </si>
  <si>
    <t>250, 240, 230</t>
  </si>
  <si>
    <t>#FAF0E6</t>
  </si>
  <si>
    <t>245, 245, 220</t>
  </si>
  <si>
    <t>#F5F5DC</t>
  </si>
  <si>
    <t>245, 245, 245</t>
  </si>
  <si>
    <t>#F5F5F5</t>
  </si>
  <si>
    <t>255, 240, 245</t>
  </si>
  <si>
    <t>#FFF0F5</t>
  </si>
  <si>
    <t>253, 245, 230</t>
  </si>
  <si>
    <t>#FDF5E6</t>
  </si>
  <si>
    <t>240, 248, 255</t>
  </si>
  <si>
    <t>#F0F8FF</t>
  </si>
  <si>
    <t>255, 245, 238</t>
  </si>
  <si>
    <t>#FFF5EE</t>
  </si>
  <si>
    <t>248, 248, 255</t>
  </si>
  <si>
    <t>#F8F8FF</t>
  </si>
  <si>
    <t>240, 255, 240</t>
  </si>
  <si>
    <t>#F0FFF0</t>
  </si>
  <si>
    <t>255, 250, 240</t>
  </si>
  <si>
    <t>#FFFAF0</t>
  </si>
  <si>
    <t>240, 255, 255</t>
  </si>
  <si>
    <t>#F0FFFF</t>
  </si>
  <si>
    <t>245, 255, 250</t>
  </si>
  <si>
    <t>#F5FFFA</t>
  </si>
  <si>
    <t>255, 250, 250</t>
  </si>
  <si>
    <t>#FFFAFA</t>
  </si>
  <si>
    <t>255, 255, 240</t>
  </si>
  <si>
    <t>#FFFFF0</t>
  </si>
  <si>
    <t>255, 255, 255</t>
  </si>
  <si>
    <t>#FFFFFF</t>
  </si>
  <si>
    <t>0, 0, 0</t>
  </si>
  <si>
    <t>#000000</t>
  </si>
  <si>
    <t>47, 79, 79</t>
  </si>
  <si>
    <t>#2F4F4F</t>
  </si>
  <si>
    <t>105, 105, 105</t>
  </si>
  <si>
    <t>#696969</t>
  </si>
  <si>
    <t>112, 128, 144</t>
  </si>
  <si>
    <t>#708090</t>
  </si>
  <si>
    <t>128, 128, 128</t>
  </si>
  <si>
    <t>#808080</t>
  </si>
  <si>
    <t>119, 136, 153</t>
  </si>
  <si>
    <t>#778899</t>
  </si>
  <si>
    <t>169, 169, 169</t>
  </si>
  <si>
    <t>#A9A9A9</t>
  </si>
  <si>
    <t>192, 192, 192</t>
  </si>
  <si>
    <t>#C0C0C0</t>
  </si>
  <si>
    <t>211, 211, 211</t>
  </si>
  <si>
    <t>#D3D3D3</t>
  </si>
  <si>
    <t>220, 220, 220</t>
  </si>
  <si>
    <t>#DCDCDC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</si>
</sst>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Arial"/>
      <family val="2"/>
    </font>
    <font>
      <sz val="9"/>
      <color rgb="FFFFFFFF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</fonts>
  <fills count="166">
    <fill>
      <patternFill patternType="none"/>
    </fill>
    <fill>
      <patternFill patternType="gray125"/>
    </fill>
    <fill>
      <patternFill patternType="solid">
        <fgColor rgb="FFEA868F"/>
        <bgColor indexed="64"/>
      </patternFill>
    </fill>
    <fill>
      <patternFill patternType="solid">
        <fgColor rgb="FFFFDA6A"/>
        <bgColor indexed="64"/>
      </patternFill>
    </fill>
    <fill>
      <patternFill patternType="solid">
        <fgColor rgb="FF75A85F"/>
        <bgColor indexed="64"/>
      </patternFill>
    </fill>
    <fill>
      <patternFill patternType="solid">
        <fgColor rgb="FF6EA8FE"/>
        <bgColor indexed="64"/>
      </patternFill>
    </fill>
    <fill>
      <patternFill patternType="solid">
        <fgColor rgb="FFA7ACB1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D1E7DD"/>
        <bgColor indexed="64"/>
      </patternFill>
    </fill>
    <fill>
      <patternFill patternType="solid">
        <fgColor rgb="FFCFE2FF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58151C"/>
        <bgColor indexed="64"/>
      </patternFill>
    </fill>
    <fill>
      <patternFill patternType="solid">
        <fgColor rgb="FF664D03"/>
        <bgColor indexed="64"/>
      </patternFill>
    </fill>
    <fill>
      <patternFill patternType="solid">
        <fgColor rgb="FF0A3622"/>
        <bgColor indexed="64"/>
      </patternFill>
    </fill>
    <fill>
      <patternFill patternType="solid">
        <fgColor rgb="FF052C65"/>
        <bgColor indexed="64"/>
      </patternFill>
    </fill>
    <fill>
      <patternFill patternType="solid">
        <fgColor rgb="FF2B2F32"/>
        <bgColor indexed="64"/>
      </patternFill>
    </fill>
    <fill>
      <patternFill patternType="solid">
        <fgColor rgb="FF2C060E"/>
        <bgColor indexed="64"/>
      </patternFill>
    </fill>
    <fill>
      <patternFill patternType="solid">
        <fgColor rgb="FF332701"/>
        <bgColor indexed="64"/>
      </patternFill>
    </fill>
    <fill>
      <patternFill patternType="solid">
        <fgColor rgb="FF051B11"/>
        <bgColor indexed="64"/>
      </patternFill>
    </fill>
    <fill>
      <patternFill patternType="solid">
        <fgColor rgb="FF031B33"/>
        <bgColor indexed="64"/>
      </patternFill>
    </fill>
    <fill>
      <patternFill patternType="solid">
        <fgColor rgb="FF161719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6358"/>
        <bgColor indexed="64"/>
      </patternFill>
    </fill>
    <fill>
      <patternFill patternType="solid">
        <fgColor rgb="FFFFD246"/>
        <bgColor indexed="64"/>
      </patternFill>
    </fill>
    <fill>
      <patternFill patternType="solid">
        <fgColor rgb="FF78D237"/>
        <bgColor indexed="64"/>
      </patternFill>
    </fill>
    <fill>
      <patternFill patternType="solid">
        <fgColor rgb="FF28B4C8"/>
        <bgColor indexed="64"/>
      </patternFill>
    </fill>
    <fill>
      <patternFill patternType="solid">
        <fgColor rgb="FF2D73F5"/>
        <bgColor indexed="64"/>
      </patternFill>
    </fill>
    <fill>
      <patternFill patternType="solid">
        <fgColor rgb="FFAA46B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3" fillId="12" borderId="0" xfId="0" applyFont="1" applyFill="1"/>
    <xf numFmtId="0" fontId="3" fillId="13" borderId="0" xfId="0" applyFont="1" applyFill="1"/>
    <xf numFmtId="0" fontId="3" fillId="14" borderId="0" xfId="0" applyFont="1" applyFill="1"/>
    <xf numFmtId="0" fontId="3" fillId="15" borderId="0" xfId="0" applyFont="1" applyFill="1"/>
    <xf numFmtId="0" fontId="3" fillId="16" borderId="0" xfId="0" applyFont="1" applyFill="1"/>
    <xf numFmtId="0" fontId="3" fillId="17" borderId="0" xfId="0" applyFont="1" applyFill="1"/>
    <xf numFmtId="0" fontId="3" fillId="18" borderId="0" xfId="0" applyFont="1" applyFill="1"/>
    <xf numFmtId="0" fontId="3" fillId="19" borderId="0" xfId="0" applyFont="1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3" fillId="23" borderId="0" xfId="0" applyFont="1" applyFill="1"/>
    <xf numFmtId="0" fontId="2" fillId="24" borderId="0" xfId="0" applyFont="1" applyFill="1"/>
    <xf numFmtId="0" fontId="2" fillId="25" borderId="0" xfId="0" applyFont="1" applyFill="1"/>
    <xf numFmtId="0" fontId="2" fillId="26" borderId="0" xfId="0" applyFont="1" applyFill="1"/>
    <xf numFmtId="0" fontId="2" fillId="27" borderId="0" xfId="0" applyFont="1" applyFill="1"/>
    <xf numFmtId="0" fontId="3" fillId="28" borderId="0" xfId="0" applyFont="1" applyFill="1"/>
    <xf numFmtId="0" fontId="3" fillId="29" borderId="0" xfId="0" applyFont="1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2" fillId="33" borderId="0" xfId="0" applyFont="1" applyFill="1"/>
    <xf numFmtId="0" fontId="2" fillId="34" borderId="0" xfId="0" applyFont="1" applyFill="1"/>
    <xf numFmtId="0" fontId="2" fillId="35" borderId="0" xfId="0" applyFont="1" applyFill="1"/>
    <xf numFmtId="0" fontId="2" fillId="36" borderId="0" xfId="0" applyFont="1" applyFill="1"/>
    <xf numFmtId="0" fontId="3" fillId="37" borderId="0" xfId="0" applyFont="1" applyFill="1"/>
    <xf numFmtId="0" fontId="2" fillId="38" borderId="0" xfId="0" applyFont="1" applyFill="1"/>
    <xf numFmtId="0" fontId="2" fillId="39" borderId="0" xfId="0" applyFont="1" applyFill="1"/>
    <xf numFmtId="0" fontId="2" fillId="40" borderId="0" xfId="0" applyFont="1" applyFill="1"/>
    <xf numFmtId="0" fontId="2" fillId="41" borderId="0" xfId="0" applyFont="1" applyFill="1"/>
    <xf numFmtId="0" fontId="2" fillId="42" borderId="0" xfId="0" applyFont="1" applyFill="1"/>
    <xf numFmtId="0" fontId="2" fillId="43" borderId="0" xfId="0" applyFont="1" applyFill="1"/>
    <xf numFmtId="0" fontId="2" fillId="44" borderId="0" xfId="0" applyFont="1" applyFill="1"/>
    <xf numFmtId="0" fontId="2" fillId="45" borderId="0" xfId="0" applyFont="1" applyFill="1"/>
    <xf numFmtId="0" fontId="2" fillId="46" borderId="0" xfId="0" applyFont="1" applyFill="1"/>
    <xf numFmtId="0" fontId="2" fillId="47" borderId="0" xfId="0" applyFont="1" applyFill="1"/>
    <xf numFmtId="0" fontId="2" fillId="48" borderId="0" xfId="0" applyFont="1" applyFill="1"/>
    <xf numFmtId="0" fontId="2" fillId="49" borderId="0" xfId="0" applyFont="1" applyFill="1"/>
    <xf numFmtId="0" fontId="2" fillId="50" borderId="0" xfId="0" applyFont="1" applyFill="1"/>
    <xf numFmtId="0" fontId="2" fillId="51" borderId="0" xfId="0" applyFont="1" applyFill="1"/>
    <xf numFmtId="0" fontId="2" fillId="52" borderId="0" xfId="0" applyFont="1" applyFill="1"/>
    <xf numFmtId="0" fontId="3" fillId="53" borderId="0" xfId="0" applyFont="1" applyFill="1"/>
    <xf numFmtId="0" fontId="3" fillId="54" borderId="0" xfId="0" applyFont="1" applyFill="1"/>
    <xf numFmtId="0" fontId="3" fillId="55" borderId="0" xfId="0" applyFont="1" applyFill="1"/>
    <xf numFmtId="0" fontId="3" fillId="56" borderId="0" xfId="0" applyFont="1" applyFill="1"/>
    <xf numFmtId="0" fontId="3" fillId="57" borderId="0" xfId="0" applyFont="1" applyFill="1"/>
    <xf numFmtId="0" fontId="3" fillId="58" borderId="0" xfId="0" applyFont="1" applyFill="1"/>
    <xf numFmtId="0" fontId="2" fillId="59" borderId="0" xfId="0" applyFont="1" applyFill="1"/>
    <xf numFmtId="0" fontId="2" fillId="60" borderId="0" xfId="0" applyFont="1" applyFill="1"/>
    <xf numFmtId="0" fontId="2" fillId="61" borderId="0" xfId="0" applyFont="1" applyFill="1"/>
    <xf numFmtId="0" fontId="2" fillId="62" borderId="0" xfId="0" applyFont="1" applyFill="1"/>
    <xf numFmtId="0" fontId="2" fillId="63" borderId="0" xfId="0" applyFont="1" applyFill="1"/>
    <xf numFmtId="0" fontId="2" fillId="64" borderId="0" xfId="0" applyFont="1" applyFill="1"/>
    <xf numFmtId="0" fontId="2" fillId="65" borderId="0" xfId="0" applyFont="1" applyFill="1"/>
    <xf numFmtId="0" fontId="2" fillId="66" borderId="0" xfId="0" applyFont="1" applyFill="1"/>
    <xf numFmtId="0" fontId="2" fillId="67" borderId="0" xfId="0" applyFont="1" applyFill="1"/>
    <xf numFmtId="0" fontId="2" fillId="68" borderId="0" xfId="0" applyFont="1" applyFill="1"/>
    <xf numFmtId="0" fontId="2" fillId="69" borderId="0" xfId="0" applyFont="1" applyFill="1"/>
    <xf numFmtId="0" fontId="3" fillId="70" borderId="0" xfId="0" applyFont="1" applyFill="1"/>
    <xf numFmtId="0" fontId="3" fillId="71" borderId="0" xfId="0" applyFont="1" applyFill="1"/>
    <xf numFmtId="0" fontId="3" fillId="72" borderId="0" xfId="0" applyFont="1" applyFill="1"/>
    <xf numFmtId="0" fontId="3" fillId="73" borderId="0" xfId="0" applyFont="1" applyFill="1"/>
    <xf numFmtId="0" fontId="3" fillId="74" borderId="0" xfId="0" applyFont="1" applyFill="1"/>
    <xf numFmtId="0" fontId="3" fillId="75" borderId="0" xfId="0" applyFont="1" applyFill="1"/>
    <xf numFmtId="0" fontId="3" fillId="76" borderId="0" xfId="0" applyFont="1" applyFill="1"/>
    <xf numFmtId="0" fontId="3" fillId="77" borderId="0" xfId="0" applyFont="1" applyFill="1"/>
    <xf numFmtId="0" fontId="3" fillId="78" borderId="0" xfId="0" applyFont="1" applyFill="1"/>
    <xf numFmtId="0" fontId="3" fillId="79" borderId="0" xfId="0" applyFont="1" applyFill="1"/>
    <xf numFmtId="0" fontId="3" fillId="80" borderId="0" xfId="0" applyFont="1" applyFill="1"/>
    <xf numFmtId="0" fontId="3" fillId="81" borderId="0" xfId="0" applyFont="1" applyFill="1"/>
    <xf numFmtId="0" fontId="2" fillId="82" borderId="0" xfId="0" applyFont="1" applyFill="1"/>
    <xf numFmtId="0" fontId="2" fillId="83" borderId="0" xfId="0" applyFont="1" applyFill="1"/>
    <xf numFmtId="0" fontId="2" fillId="84" borderId="0" xfId="0" applyFont="1" applyFill="1"/>
    <xf numFmtId="0" fontId="2" fillId="85" borderId="0" xfId="0" applyFont="1" applyFill="1"/>
    <xf numFmtId="0" fontId="2" fillId="86" borderId="0" xfId="0" applyFont="1" applyFill="1"/>
    <xf numFmtId="0" fontId="3" fillId="87" borderId="0" xfId="0" applyFont="1" applyFill="1"/>
    <xf numFmtId="0" fontId="3" fillId="88" borderId="0" xfId="0" applyFont="1" applyFill="1"/>
    <xf numFmtId="0" fontId="3" fillId="89" borderId="0" xfId="0" applyFont="1" applyFill="1"/>
    <xf numFmtId="0" fontId="3" fillId="90" borderId="0" xfId="0" applyFont="1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3" fillId="94" borderId="0" xfId="0" applyFont="1" applyFill="1"/>
    <xf numFmtId="0" fontId="2" fillId="95" borderId="0" xfId="0" applyFont="1" applyFill="1"/>
    <xf numFmtId="0" fontId="2" fillId="96" borderId="0" xfId="0" applyFont="1" applyFill="1"/>
    <xf numFmtId="0" fontId="2" fillId="97" borderId="0" xfId="0" applyFont="1" applyFill="1"/>
    <xf numFmtId="0" fontId="2" fillId="98" borderId="0" xfId="0" applyFont="1" applyFill="1"/>
    <xf numFmtId="0" fontId="2" fillId="99" borderId="0" xfId="0" applyFont="1" applyFill="1"/>
    <xf numFmtId="0" fontId="2" fillId="100" borderId="0" xfId="0" applyFont="1" applyFill="1"/>
    <xf numFmtId="0" fontId="2" fillId="101" borderId="0" xfId="0" applyFont="1" applyFill="1"/>
    <xf numFmtId="0" fontId="3" fillId="102" borderId="0" xfId="0" applyFont="1" applyFill="1"/>
    <xf numFmtId="0" fontId="3" fillId="103" borderId="0" xfId="0" applyFont="1" applyFill="1"/>
    <xf numFmtId="0" fontId="3" fillId="104" borderId="0" xfId="0" applyFont="1" applyFill="1"/>
    <xf numFmtId="0" fontId="3" fillId="105" borderId="0" xfId="0" applyFont="1" applyFill="1"/>
    <xf numFmtId="0" fontId="2" fillId="106" borderId="0" xfId="0" applyFont="1" applyFill="1"/>
    <xf numFmtId="0" fontId="2" fillId="107" borderId="0" xfId="0" applyFont="1" applyFill="1"/>
    <xf numFmtId="0" fontId="2" fillId="108" borderId="0" xfId="0" applyFont="1" applyFill="1"/>
    <xf numFmtId="0" fontId="2" fillId="109" borderId="0" xfId="0" applyFont="1" applyFill="1"/>
    <xf numFmtId="0" fontId="2" fillId="110" borderId="0" xfId="0" applyFont="1" applyFill="1"/>
    <xf numFmtId="0" fontId="2" fillId="111" borderId="0" xfId="0" applyFont="1" applyFill="1"/>
    <xf numFmtId="0" fontId="2" fillId="112" borderId="0" xfId="0" applyFont="1" applyFill="1"/>
    <xf numFmtId="0" fontId="3" fillId="113" borderId="0" xfId="0" applyFont="1" applyFill="1"/>
    <xf numFmtId="0" fontId="3" fillId="114" borderId="0" xfId="0" applyFont="1" applyFill="1"/>
    <xf numFmtId="0" fontId="3" fillId="115" borderId="0" xfId="0" applyFont="1" applyFill="1"/>
    <xf numFmtId="0" fontId="3" fillId="116" borderId="0" xfId="0" applyFont="1" applyFill="1"/>
    <xf numFmtId="0" fontId="3" fillId="117" borderId="0" xfId="0" applyFont="1" applyFill="1"/>
    <xf numFmtId="0" fontId="3" fillId="118" borderId="0" xfId="0" applyFont="1" applyFill="1"/>
    <xf numFmtId="0" fontId="3" fillId="119" borderId="0" xfId="0" applyFont="1" applyFill="1"/>
    <xf numFmtId="0" fontId="3" fillId="120" borderId="0" xfId="0" applyFont="1" applyFill="1"/>
    <xf numFmtId="0" fontId="2" fillId="121" borderId="0" xfId="0" applyFont="1" applyFill="1"/>
    <xf numFmtId="0" fontId="2" fillId="122" borderId="0" xfId="0" applyFont="1" applyFill="1"/>
    <xf numFmtId="0" fontId="2" fillId="123" borderId="0" xfId="0" applyFont="1" applyFill="1"/>
    <xf numFmtId="0" fontId="2" fillId="124" borderId="0" xfId="0" applyFont="1" applyFill="1"/>
    <xf numFmtId="0" fontId="2" fillId="125" borderId="0" xfId="0" applyFont="1" applyFill="1"/>
    <xf numFmtId="0" fontId="2" fillId="126" borderId="0" xfId="0" applyFont="1" applyFill="1"/>
    <xf numFmtId="0" fontId="2" fillId="127" borderId="0" xfId="0" applyFont="1" applyFill="1"/>
    <xf numFmtId="0" fontId="2" fillId="128" borderId="0" xfId="0" applyFont="1" applyFill="1"/>
    <xf numFmtId="0" fontId="2" fillId="129" borderId="0" xfId="0" applyFont="1" applyFill="1"/>
    <xf numFmtId="0" fontId="2" fillId="130" borderId="0" xfId="0" applyFont="1" applyFill="1"/>
    <xf numFmtId="0" fontId="2" fillId="131" borderId="0" xfId="0" applyFont="1" applyFill="1"/>
    <xf numFmtId="0" fontId="2" fillId="132" borderId="0" xfId="0" applyFont="1" applyFill="1"/>
    <xf numFmtId="0" fontId="2" fillId="133" borderId="0" xfId="0" applyFont="1" applyFill="1"/>
    <xf numFmtId="0" fontId="2" fillId="134" borderId="0" xfId="0" applyFont="1" applyFill="1"/>
    <xf numFmtId="0" fontId="2" fillId="135" borderId="0" xfId="0" applyFont="1" applyFill="1"/>
    <xf numFmtId="0" fontId="2" fillId="136" borderId="0" xfId="0" applyFont="1" applyFill="1"/>
    <xf numFmtId="0" fontId="2" fillId="137" borderId="0" xfId="0" applyFont="1" applyFill="1"/>
    <xf numFmtId="0" fontId="2" fillId="138" borderId="0" xfId="0" applyFont="1" applyFill="1"/>
    <xf numFmtId="0" fontId="2" fillId="139" borderId="0" xfId="0" applyFont="1" applyFill="1"/>
    <xf numFmtId="0" fontId="2" fillId="140" borderId="0" xfId="0" applyFont="1" applyFill="1"/>
    <xf numFmtId="0" fontId="2" fillId="141" borderId="0" xfId="0" applyFont="1" applyFill="1"/>
    <xf numFmtId="0" fontId="2" fillId="142" borderId="0" xfId="0" applyFont="1" applyFill="1"/>
    <xf numFmtId="0" fontId="2" fillId="143" borderId="0" xfId="0" applyFont="1" applyFill="1"/>
    <xf numFmtId="0" fontId="2" fillId="144" borderId="0" xfId="0" applyFont="1" applyFill="1"/>
    <xf numFmtId="0" fontId="2" fillId="145" borderId="0" xfId="0" applyFont="1" applyFill="1"/>
    <xf numFmtId="0" fontId="2" fillId="146" borderId="0" xfId="0" applyFont="1" applyFill="1"/>
    <xf numFmtId="0" fontId="2" fillId="147" borderId="0" xfId="0" applyFont="1" applyFill="1"/>
    <xf numFmtId="0" fontId="2" fillId="148" borderId="0" xfId="0" applyFont="1" applyFill="1"/>
    <xf numFmtId="0" fontId="2" fillId="149" borderId="0" xfId="0" applyFont="1" applyFill="1"/>
    <xf numFmtId="0" fontId="3" fillId="150" borderId="0" xfId="0" applyFont="1" applyFill="1"/>
    <xf numFmtId="0" fontId="3" fillId="151" borderId="0" xfId="0" applyFont="1" applyFill="1"/>
    <xf numFmtId="0" fontId="3" fillId="152" borderId="0" xfId="0" applyFont="1" applyFill="1"/>
    <xf numFmtId="0" fontId="3" fillId="153" borderId="0" xfId="0" applyFont="1" applyFill="1"/>
    <xf numFmtId="0" fontId="3" fillId="154" borderId="0" xfId="0" applyFont="1" applyFill="1"/>
    <xf numFmtId="0" fontId="3" fillId="155" borderId="0" xfId="0" applyFont="1" applyFill="1"/>
    <xf numFmtId="0" fontId="2" fillId="156" borderId="0" xfId="0" applyFont="1" applyFill="1"/>
    <xf numFmtId="0" fontId="2" fillId="157" borderId="0" xfId="0" applyFont="1" applyFill="1"/>
    <xf numFmtId="0" fontId="2" fillId="158" borderId="0" xfId="0" applyFont="1" applyFill="1"/>
    <xf numFmtId="0" fontId="2" fillId="159" borderId="0" xfId="0" applyFont="1" applyFill="1"/>
    <xf numFmtId="0" fontId="4" fillId="0" borderId="0" xfId="0" applyFont="1"/>
    <xf numFmtId="0" fontId="5" fillId="0" borderId="0" xfId="0" applyFont="1"/>
    <xf numFmtId="0" fontId="2" fillId="160" borderId="0" xfId="0" applyFont="1" applyFill="1"/>
    <xf numFmtId="0" fontId="2" fillId="161" borderId="0" xfId="0" applyFont="1" applyFill="1"/>
    <xf numFmtId="0" fontId="2" fillId="162" borderId="0" xfId="0" applyFont="1" applyFill="1"/>
    <xf numFmtId="0" fontId="2" fillId="163" borderId="0" xfId="0" applyFont="1" applyFill="1"/>
    <xf numFmtId="0" fontId="3" fillId="164" borderId="0" xfId="0" applyFont="1" applyFill="1"/>
    <xf numFmtId="0" fontId="3" fillId="165" borderId="0" xfId="0" applyFont="1" applyFill="1"/>
    <xf numFmtId="1" fontId="0" fillId="0" borderId="0" xfId="0" applyNumberFormat="1" applyAlignment="1">
      <alignment horizontal="lef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A3BA5-34E1-46AF-AF5B-0D35C34174F8}">
  <sheetPr codeName="Sheet1"/>
  <dimension ref="A1:H189"/>
  <sheetViews>
    <sheetView showGridLines="0" zoomScaleNormal="100" workbookViewId="0">
      <pane ySplit="1" topLeftCell="A2" activePane="bottomLeft" state="frozen"/>
      <selection pane="bottomLeft" sqref="A1:XFD1048576"/>
    </sheetView>
  </sheetViews>
  <sheetFormatPr defaultRowHeight="12" x14ac:dyDescent="0.2"/>
  <cols>
    <col min="1" max="1" width="26.28515625" bestFit="1" customWidth="1"/>
    <col min="2" max="2" width="14.28515625" customWidth="1"/>
    <col min="3" max="3" width="15.5703125" customWidth="1"/>
    <col min="4" max="4" width="15.140625" customWidth="1"/>
    <col min="5" max="5" width="2.7109375" customWidth="1"/>
  </cols>
  <sheetData>
    <row r="1" spans="1:8" ht="15.75" x14ac:dyDescent="0.25">
      <c r="A1" s="162" t="s">
        <v>0</v>
      </c>
      <c r="B1" s="162" t="s">
        <v>1</v>
      </c>
      <c r="C1" s="162" t="s">
        <v>2</v>
      </c>
      <c r="D1" s="162" t="s">
        <v>3</v>
      </c>
      <c r="F1" s="170" t="s">
        <v>172</v>
      </c>
      <c r="G1" s="170" t="s">
        <v>173</v>
      </c>
      <c r="H1" s="170" t="s">
        <v>174</v>
      </c>
    </row>
    <row r="2" spans="1:8" ht="15.75" x14ac:dyDescent="0.25">
      <c r="A2" s="162" t="s">
        <v>165</v>
      </c>
      <c r="B2" s="2"/>
      <c r="C2" s="2"/>
      <c r="D2" s="2"/>
    </row>
    <row r="3" spans="1:8" x14ac:dyDescent="0.2">
      <c r="A3" t="s">
        <v>4</v>
      </c>
      <c r="B3" s="1">
        <v>9406186</v>
      </c>
      <c r="C3" s="3" t="str" cm="1">
        <f t="array" ref="C3">long_to_rgb(B3)</f>
        <v>234, 134, 143</v>
      </c>
      <c r="D3" s="3" t="str" cm="1">
        <f t="array" ref="D3">rgb_to_hex(C3)</f>
        <v>#EA868F</v>
      </c>
      <c r="F3" s="169" cm="1">
        <f t="array" ref="F3:H3">rgb_to_hsb(C3)</f>
        <v>354.6</v>
      </c>
      <c r="G3" s="169">
        <v>42.734999999999999</v>
      </c>
      <c r="H3" s="169">
        <v>91.765000000000001</v>
      </c>
    </row>
    <row r="4" spans="1:8" x14ac:dyDescent="0.2">
      <c r="A4" t="s">
        <v>5</v>
      </c>
      <c r="B4" s="1">
        <v>7002879</v>
      </c>
      <c r="C4" s="4" t="str" cm="1">
        <f t="array" ref="C4">long_to_rgb(B4)</f>
        <v>255, 218, 106</v>
      </c>
      <c r="D4" s="4" t="str" cm="1">
        <f t="array" ref="D4">rgb_to_hex(C4)</f>
        <v>#FFDA6A</v>
      </c>
      <c r="F4" s="169" cm="1">
        <f t="array" ref="F4:H4">rgb_to_hsb(C4)</f>
        <v>45.100999999999999</v>
      </c>
      <c r="G4" s="169">
        <v>58.430999999999997</v>
      </c>
      <c r="H4" s="169">
        <v>100</v>
      </c>
    </row>
    <row r="5" spans="1:8" x14ac:dyDescent="0.2">
      <c r="A5" t="s">
        <v>6</v>
      </c>
      <c r="B5" s="1">
        <v>6269045</v>
      </c>
      <c r="C5" s="5" t="str" cm="1">
        <f t="array" ref="C5">long_to_rgb(B5)</f>
        <v>117, 168, 95</v>
      </c>
      <c r="D5" s="5" t="str" cm="1">
        <f t="array" ref="D5">rgb_to_hex(C5)</f>
        <v>#75A85F</v>
      </c>
      <c r="F5" s="169" cm="1">
        <f t="array" ref="F5:H5">rgb_to_hsb(C5)</f>
        <v>101.91800000000001</v>
      </c>
      <c r="G5" s="169">
        <v>43.451999999999998</v>
      </c>
      <c r="H5" s="169">
        <v>65.882000000000005</v>
      </c>
    </row>
    <row r="6" spans="1:8" x14ac:dyDescent="0.2">
      <c r="A6" t="s">
        <v>7</v>
      </c>
      <c r="B6" s="1">
        <v>16689262</v>
      </c>
      <c r="C6" s="6" t="str" cm="1">
        <f t="array" ref="C6">long_to_rgb(B6)</f>
        <v>110, 168, 254</v>
      </c>
      <c r="D6" s="6" t="str" cm="1">
        <f t="array" ref="D6">rgb_to_hex(C6)</f>
        <v>#6EA8FE</v>
      </c>
      <c r="F6" s="169" cm="1">
        <f t="array" ref="F6:H6">rgb_to_hsb(C6)</f>
        <v>215.833</v>
      </c>
      <c r="G6" s="169">
        <v>56.692999999999998</v>
      </c>
      <c r="H6" s="169">
        <v>99.608000000000004</v>
      </c>
    </row>
    <row r="7" spans="1:8" x14ac:dyDescent="0.2">
      <c r="A7" t="s">
        <v>8</v>
      </c>
      <c r="B7" s="1">
        <v>11644071</v>
      </c>
      <c r="C7" s="7" t="str" cm="1">
        <f t="array" ref="C7">long_to_rgb(B7)</f>
        <v>167, 172, 177</v>
      </c>
      <c r="D7" s="7" t="str" cm="1">
        <f t="array" ref="D7">rgb_to_hex(C7)</f>
        <v>#A7ACB1</v>
      </c>
      <c r="F7" s="169" cm="1">
        <f t="array" ref="F7:H7">rgb_to_hsb(C7)</f>
        <v>210</v>
      </c>
      <c r="G7" s="169">
        <v>5.65</v>
      </c>
      <c r="H7" s="169">
        <v>69.412000000000006</v>
      </c>
    </row>
    <row r="8" spans="1:8" x14ac:dyDescent="0.2">
      <c r="B8" s="1"/>
    </row>
    <row r="9" spans="1:8" x14ac:dyDescent="0.2">
      <c r="A9" t="s">
        <v>9</v>
      </c>
      <c r="B9" s="1">
        <v>14342136</v>
      </c>
      <c r="C9" s="8" t="str" cm="1">
        <f t="array" ref="C9">long_to_rgb(B9)</f>
        <v>248, 215, 218</v>
      </c>
      <c r="D9" s="8" t="str" cm="1">
        <f t="array" ref="D9">rgb_to_hex(C9)</f>
        <v>#F8D7DA</v>
      </c>
      <c r="F9" s="169" cm="1">
        <f t="array" ref="F9:H9">rgb_to_hsb(C9)</f>
        <v>354.54500000000002</v>
      </c>
      <c r="G9" s="169">
        <v>13.305999999999999</v>
      </c>
      <c r="H9" s="169">
        <v>97.254999999999995</v>
      </c>
    </row>
    <row r="10" spans="1:8" x14ac:dyDescent="0.2">
      <c r="A10" t="s">
        <v>10</v>
      </c>
      <c r="B10" s="1">
        <v>13497343</v>
      </c>
      <c r="C10" s="9" t="str" cm="1">
        <f t="array" ref="C10">long_to_rgb(B10)</f>
        <v>255, 243, 205</v>
      </c>
      <c r="D10" s="9" t="str" cm="1">
        <f t="array" ref="D10">rgb_to_hex(C10)</f>
        <v>#FFF3CD</v>
      </c>
      <c r="F10" s="169" cm="1">
        <f t="array" ref="F10:H10">rgb_to_hsb(C10)</f>
        <v>45.6</v>
      </c>
      <c r="G10" s="169">
        <v>19.608000000000001</v>
      </c>
      <c r="H10" s="169">
        <v>100</v>
      </c>
    </row>
    <row r="11" spans="1:8" x14ac:dyDescent="0.2">
      <c r="A11" t="s">
        <v>11</v>
      </c>
      <c r="B11" s="1">
        <v>14542801</v>
      </c>
      <c r="C11" s="10" t="str" cm="1">
        <f t="array" ref="C11">long_to_rgb(B11)</f>
        <v>209, 231, 221</v>
      </c>
      <c r="D11" s="10" t="str" cm="1">
        <f t="array" ref="D11">rgb_to_hex(C11)</f>
        <v>#D1E7DD</v>
      </c>
      <c r="F11" s="169" cm="1">
        <f t="array" ref="F11:H11">rgb_to_hsb(C11)</f>
        <v>152.727</v>
      </c>
      <c r="G11" s="169">
        <v>9.5239999999999991</v>
      </c>
      <c r="H11" s="169">
        <v>90.587999999999994</v>
      </c>
    </row>
    <row r="12" spans="1:8" x14ac:dyDescent="0.2">
      <c r="A12" t="s">
        <v>12</v>
      </c>
      <c r="B12" s="1">
        <v>16769743</v>
      </c>
      <c r="C12" s="11" t="str" cm="1">
        <f t="array" ref="C12">long_to_rgb(B12)</f>
        <v>207, 226, 255</v>
      </c>
      <c r="D12" s="11" t="str" cm="1">
        <f t="array" ref="D12">rgb_to_hex(C12)</f>
        <v>#CFE2FF</v>
      </c>
      <c r="F12" s="169" cm="1">
        <f t="array" ref="F12:H12">rgb_to_hsb(C12)</f>
        <v>216.25</v>
      </c>
      <c r="G12" s="169">
        <v>18.824000000000002</v>
      </c>
      <c r="H12" s="169">
        <v>100</v>
      </c>
    </row>
    <row r="13" spans="1:8" x14ac:dyDescent="0.2">
      <c r="A13" t="s">
        <v>13</v>
      </c>
      <c r="B13" s="1">
        <v>15066082</v>
      </c>
      <c r="C13" s="12" t="str" cm="1">
        <f t="array" ref="C13">long_to_rgb(B13)</f>
        <v>226, 227, 229</v>
      </c>
      <c r="D13" s="12" t="str" cm="1">
        <f t="array" ref="D13">rgb_to_hex(C13)</f>
        <v>#E2E3E5</v>
      </c>
      <c r="F13" s="169" cm="1">
        <f t="array" ref="F13:H13">rgb_to_hsb(C13)</f>
        <v>220</v>
      </c>
      <c r="G13" s="169">
        <v>1.31</v>
      </c>
      <c r="H13" s="169">
        <v>89.804000000000002</v>
      </c>
    </row>
    <row r="14" spans="1:8" x14ac:dyDescent="0.2">
      <c r="B14" s="1"/>
    </row>
    <row r="15" spans="1:8" x14ac:dyDescent="0.2">
      <c r="A15" t="s">
        <v>14</v>
      </c>
      <c r="B15" s="1">
        <v>1840472</v>
      </c>
      <c r="C15" s="13" t="str" cm="1">
        <f t="array" ref="C15">long_to_rgb(B15)</f>
        <v>88, 21, 28</v>
      </c>
      <c r="D15" s="13" t="str" cm="1">
        <f t="array" ref="D15">rgb_to_hex(C15)</f>
        <v>#58151C</v>
      </c>
      <c r="F15" s="169" cm="1">
        <f t="array" ref="F15:H15">rgb_to_hsb(C15)</f>
        <v>353.73099999999999</v>
      </c>
      <c r="G15" s="169">
        <v>76.135999999999996</v>
      </c>
      <c r="H15" s="169">
        <v>34.51</v>
      </c>
    </row>
    <row r="16" spans="1:8" x14ac:dyDescent="0.2">
      <c r="A16" t="s">
        <v>15</v>
      </c>
      <c r="B16" s="1">
        <v>216422</v>
      </c>
      <c r="C16" s="14" t="str" cm="1">
        <f t="array" ref="C16">long_to_rgb(B16)</f>
        <v>102, 77, 3</v>
      </c>
      <c r="D16" s="14" t="str" cm="1">
        <f t="array" ref="D16">rgb_to_hex(C16)</f>
        <v>#664D03</v>
      </c>
      <c r="F16" s="169" cm="1">
        <f t="array" ref="F16:H16">rgb_to_hsb(C16)</f>
        <v>44.847999999999999</v>
      </c>
      <c r="G16" s="169">
        <v>97.058999999999997</v>
      </c>
      <c r="H16" s="169">
        <v>40</v>
      </c>
    </row>
    <row r="17" spans="1:8" x14ac:dyDescent="0.2">
      <c r="A17" t="s">
        <v>16</v>
      </c>
      <c r="B17" s="1">
        <v>2242058</v>
      </c>
      <c r="C17" s="15" t="str" cm="1">
        <f t="array" ref="C17">long_to_rgb(B17)</f>
        <v>10, 54, 34</v>
      </c>
      <c r="D17" s="15" t="str" cm="1">
        <f t="array" ref="D17">rgb_to_hex(C17)</f>
        <v>#0A3622</v>
      </c>
      <c r="F17" s="169" cm="1">
        <f t="array" ref="F17:H17">rgb_to_hsb(C17)</f>
        <v>152.727</v>
      </c>
      <c r="G17" s="169">
        <v>81.480999999999995</v>
      </c>
      <c r="H17" s="169">
        <v>21.175999999999998</v>
      </c>
    </row>
    <row r="18" spans="1:8" x14ac:dyDescent="0.2">
      <c r="A18" t="s">
        <v>17</v>
      </c>
      <c r="B18" s="1">
        <v>6630405</v>
      </c>
      <c r="C18" s="16" t="str" cm="1">
        <f t="array" ref="C18">long_to_rgb(B18)</f>
        <v>5, 44, 101</v>
      </c>
      <c r="D18" s="16" t="str" cm="1">
        <f t="array" ref="D18">rgb_to_hex(C18)</f>
        <v>#052C65</v>
      </c>
      <c r="F18" s="169" cm="1">
        <f t="array" ref="F18:H18">rgb_to_hsb(C18)</f>
        <v>215.625</v>
      </c>
      <c r="G18" s="169">
        <v>95.05</v>
      </c>
      <c r="H18" s="169">
        <v>39.607999999999997</v>
      </c>
    </row>
    <row r="19" spans="1:8" x14ac:dyDescent="0.2">
      <c r="A19" t="s">
        <v>18</v>
      </c>
      <c r="B19" s="1">
        <v>3288875</v>
      </c>
      <c r="C19" s="17" t="str" cm="1">
        <f t="array" ref="C19">long_to_rgb(B19)</f>
        <v>43, 47, 50</v>
      </c>
      <c r="D19" s="17" t="str" cm="1">
        <f t="array" ref="D19">rgb_to_hex(C19)</f>
        <v>#2B2F32</v>
      </c>
      <c r="F19" s="169" cm="1">
        <f t="array" ref="F19:H19">rgb_to_hsb(C19)</f>
        <v>205.714</v>
      </c>
      <c r="G19" s="169">
        <v>14</v>
      </c>
      <c r="H19" s="169">
        <v>19.608000000000001</v>
      </c>
    </row>
    <row r="20" spans="1:8" x14ac:dyDescent="0.2">
      <c r="B20" s="1"/>
      <c r="F20" s="169"/>
      <c r="G20" s="169"/>
      <c r="H20" s="169"/>
    </row>
    <row r="21" spans="1:8" x14ac:dyDescent="0.2">
      <c r="A21" t="s">
        <v>19</v>
      </c>
      <c r="B21" s="1">
        <v>919084</v>
      </c>
      <c r="C21" s="18" t="str" cm="1">
        <f t="array" ref="C21">long_to_rgb(B21)</f>
        <v>44, 6, 14</v>
      </c>
      <c r="D21" s="18" t="str" cm="1">
        <f t="array" ref="D21">rgb_to_hex(C21)</f>
        <v>#2C060E</v>
      </c>
      <c r="F21" s="169" cm="1">
        <f t="array" ref="F21:H21">rgb_to_hsb(C21)</f>
        <v>347.36799999999999</v>
      </c>
      <c r="G21" s="169">
        <v>86.364000000000004</v>
      </c>
      <c r="H21" s="169">
        <v>17.254999999999999</v>
      </c>
    </row>
    <row r="22" spans="1:8" x14ac:dyDescent="0.2">
      <c r="A22" t="s">
        <v>20</v>
      </c>
      <c r="B22" s="1">
        <v>75571</v>
      </c>
      <c r="C22" s="19" t="str" cm="1">
        <f t="array" ref="C22">long_to_rgb(B22)</f>
        <v>51, 39, 1</v>
      </c>
      <c r="D22" s="19" t="str" cm="1">
        <f t="array" ref="D22">rgb_to_hex(C22)</f>
        <v>#332701</v>
      </c>
      <c r="F22" s="169" cm="1">
        <f t="array" ref="F22:H22">rgb_to_hsb(C22)</f>
        <v>45.6</v>
      </c>
      <c r="G22" s="169">
        <v>98.039000000000001</v>
      </c>
      <c r="H22" s="169">
        <v>20</v>
      </c>
    </row>
    <row r="23" spans="1:8" x14ac:dyDescent="0.2">
      <c r="A23" t="s">
        <v>21</v>
      </c>
      <c r="B23" s="1">
        <v>1121029</v>
      </c>
      <c r="C23" s="20" t="str" cm="1">
        <f t="array" ref="C23">long_to_rgb(B23)</f>
        <v>5, 27, 17</v>
      </c>
      <c r="D23" s="20" t="str" cm="1">
        <f t="array" ref="D23">rgb_to_hex(C23)</f>
        <v>#051B11</v>
      </c>
      <c r="F23" s="169" cm="1">
        <f t="array" ref="F23:H23">rgb_to_hsb(C23)</f>
        <v>152.727</v>
      </c>
      <c r="G23" s="169">
        <v>81.480999999999995</v>
      </c>
      <c r="H23" s="169">
        <v>10.587999999999999</v>
      </c>
    </row>
    <row r="24" spans="1:8" x14ac:dyDescent="0.2">
      <c r="A24" t="s">
        <v>22</v>
      </c>
      <c r="B24" s="1">
        <v>3349251</v>
      </c>
      <c r="C24" s="21" t="str" cm="1">
        <f t="array" ref="C24">long_to_rgb(B24)</f>
        <v>3, 27, 51</v>
      </c>
      <c r="D24" s="21" t="str" cm="1">
        <f t="array" ref="D24">rgb_to_hex(C24)</f>
        <v>#031B33</v>
      </c>
      <c r="F24" s="169" cm="1">
        <f t="array" ref="F24:H24">rgb_to_hsb(C24)</f>
        <v>210</v>
      </c>
      <c r="G24" s="169">
        <v>94.117999999999995</v>
      </c>
      <c r="H24" s="169">
        <v>20</v>
      </c>
    </row>
    <row r="25" spans="1:8" x14ac:dyDescent="0.2">
      <c r="A25" t="s">
        <v>23</v>
      </c>
      <c r="B25" s="1">
        <v>1644310</v>
      </c>
      <c r="C25" s="22" t="str" cm="1">
        <f t="array" ref="C25">long_to_rgb(B25)</f>
        <v>22, 23, 25</v>
      </c>
      <c r="D25" s="22" t="str" cm="1">
        <f t="array" ref="D25">rgb_to_hex(C25)</f>
        <v>#161719</v>
      </c>
      <c r="F25" s="169" cm="1">
        <f t="array" ref="F25:H25">rgb_to_hsb(C25)</f>
        <v>220</v>
      </c>
      <c r="G25" s="169">
        <v>12</v>
      </c>
      <c r="H25" s="169">
        <v>9.8040000000000003</v>
      </c>
    </row>
    <row r="26" spans="1:8" x14ac:dyDescent="0.2">
      <c r="B26" s="1"/>
      <c r="F26" s="169"/>
      <c r="G26" s="169"/>
      <c r="H26" s="169"/>
    </row>
    <row r="27" spans="1:8" ht="18" x14ac:dyDescent="0.25">
      <c r="A27" s="161" t="s">
        <v>164</v>
      </c>
      <c r="B27" s="1"/>
      <c r="F27" s="169"/>
      <c r="G27" s="169"/>
      <c r="H27" s="169"/>
    </row>
    <row r="28" spans="1:8" x14ac:dyDescent="0.2">
      <c r="A28" t="s">
        <v>24</v>
      </c>
      <c r="B28" s="1">
        <v>8721863</v>
      </c>
      <c r="C28" s="23" t="str" cm="1">
        <f t="array" ref="C28">long_to_rgb(B28)</f>
        <v>199, 21, 133</v>
      </c>
      <c r="D28" s="23" t="str" cm="1">
        <f t="array" ref="D28">rgb_to_hex(C28)</f>
        <v>#C71585</v>
      </c>
      <c r="F28" s="169" cm="1">
        <f t="array" ref="F28:H28">rgb_to_hsb(C28)</f>
        <v>322.24700000000001</v>
      </c>
      <c r="G28" s="169">
        <v>89.447000000000003</v>
      </c>
      <c r="H28" s="169">
        <v>78.039000000000001</v>
      </c>
    </row>
    <row r="29" spans="1:8" x14ac:dyDescent="0.2">
      <c r="A29" t="s">
        <v>25</v>
      </c>
      <c r="B29" s="1">
        <v>9639167</v>
      </c>
      <c r="C29" s="24" t="str" cm="1">
        <f t="array" ref="C29">long_to_rgb(B29)</f>
        <v>255, 20, 147</v>
      </c>
      <c r="D29" s="24" t="str" cm="1">
        <f t="array" ref="D29">rgb_to_hex(C29)</f>
        <v>#FF1493</v>
      </c>
      <c r="F29" s="169" cm="1">
        <f t="array" ref="F29:H29">rgb_to_hsb(C29)</f>
        <v>327.57400000000001</v>
      </c>
      <c r="G29" s="169">
        <v>92.156999999999996</v>
      </c>
      <c r="H29" s="169">
        <v>100</v>
      </c>
    </row>
    <row r="30" spans="1:8" x14ac:dyDescent="0.2">
      <c r="A30" t="s">
        <v>26</v>
      </c>
      <c r="B30" s="1">
        <v>9662683</v>
      </c>
      <c r="C30" s="25" t="str" cm="1">
        <f t="array" ref="C30">long_to_rgb(B30)</f>
        <v>219, 112, 147</v>
      </c>
      <c r="D30" s="25" t="str" cm="1">
        <f t="array" ref="D30">rgb_to_hex(C30)</f>
        <v>#DB7093</v>
      </c>
      <c r="F30" s="169" cm="1">
        <f t="array" ref="F30:H30">rgb_to_hsb(C30)</f>
        <v>340.37400000000002</v>
      </c>
      <c r="G30" s="169">
        <v>48.857999999999997</v>
      </c>
      <c r="H30" s="169">
        <v>85.882000000000005</v>
      </c>
    </row>
    <row r="31" spans="1:8" x14ac:dyDescent="0.2">
      <c r="A31" t="s">
        <v>27</v>
      </c>
      <c r="B31" s="1">
        <v>11823615</v>
      </c>
      <c r="C31" s="26" t="str" cm="1">
        <f t="array" ref="C31">long_to_rgb(B31)</f>
        <v>255, 105, 180</v>
      </c>
      <c r="D31" s="26" t="str" cm="1">
        <f t="array" ref="D31">rgb_to_hex(C31)</f>
        <v>#FF69B4</v>
      </c>
      <c r="F31" s="169" cm="1">
        <f t="array" ref="F31:H31">rgb_to_hsb(C31)</f>
        <v>330</v>
      </c>
      <c r="G31" s="169">
        <v>58.823999999999998</v>
      </c>
      <c r="H31" s="169">
        <v>100</v>
      </c>
    </row>
    <row r="32" spans="1:8" x14ac:dyDescent="0.2">
      <c r="A32" t="s">
        <v>28</v>
      </c>
      <c r="B32" s="1">
        <v>12695295</v>
      </c>
      <c r="C32" s="27" t="str" cm="1">
        <f t="array" ref="C32">long_to_rgb(B32)</f>
        <v>255, 182, 193</v>
      </c>
      <c r="D32" s="27" t="str" cm="1">
        <f t="array" ref="D32">rgb_to_hex(C32)</f>
        <v>#FFB6C1</v>
      </c>
      <c r="F32" s="169" cm="1">
        <f t="array" ref="F32:H32">rgb_to_hsb(C32)</f>
        <v>350.959</v>
      </c>
      <c r="G32" s="169">
        <v>28.626999999999999</v>
      </c>
      <c r="H32" s="169">
        <v>100</v>
      </c>
    </row>
    <row r="33" spans="1:8" x14ac:dyDescent="0.2">
      <c r="A33" t="s">
        <v>29</v>
      </c>
      <c r="B33" s="1">
        <v>13353215</v>
      </c>
      <c r="C33" s="28" t="str" cm="1">
        <f t="array" ref="C33">long_to_rgb(B33)</f>
        <v>255, 192, 203</v>
      </c>
      <c r="D33" s="28" t="str" cm="1">
        <f t="array" ref="D33">rgb_to_hex(C33)</f>
        <v>#FFC0CB</v>
      </c>
      <c r="F33" s="169" cm="1">
        <f t="array" ref="F33:H33">rgb_to_hsb(C33)</f>
        <v>349.524</v>
      </c>
      <c r="G33" s="169">
        <v>24.706</v>
      </c>
      <c r="H33" s="169">
        <v>100</v>
      </c>
    </row>
    <row r="34" spans="1:8" x14ac:dyDescent="0.2">
      <c r="B34" s="1"/>
      <c r="F34" s="169"/>
      <c r="G34" s="169"/>
      <c r="H34" s="169"/>
    </row>
    <row r="35" spans="1:8" x14ac:dyDescent="0.2">
      <c r="B35" s="1"/>
      <c r="F35" s="169"/>
      <c r="G35" s="169"/>
      <c r="H35" s="169"/>
    </row>
    <row r="36" spans="1:8" x14ac:dyDescent="0.2">
      <c r="A36" t="s">
        <v>30</v>
      </c>
      <c r="B36" s="1">
        <v>139</v>
      </c>
      <c r="C36" s="29" t="str" cm="1">
        <f t="array" ref="C36">long_to_rgb(B36)</f>
        <v>139, 0, 0</v>
      </c>
      <c r="D36" s="29" t="str" cm="1">
        <f t="array" ref="D36">rgb_to_hex(C36)</f>
        <v>#8B0000</v>
      </c>
      <c r="F36" s="169" cm="1">
        <f t="array" ref="F36:H36">rgb_to_hsb(C36)</f>
        <v>0</v>
      </c>
      <c r="G36" s="169">
        <v>100</v>
      </c>
      <c r="H36" s="169">
        <v>54.51</v>
      </c>
    </row>
    <row r="37" spans="1:8" x14ac:dyDescent="0.2">
      <c r="A37" t="s">
        <v>31</v>
      </c>
      <c r="B37" s="1">
        <v>255</v>
      </c>
      <c r="C37" s="30" t="str" cm="1">
        <f t="array" ref="C37">long_to_rgb(B37)</f>
        <v>255, 0, 0</v>
      </c>
      <c r="D37" s="30" t="str" cm="1">
        <f t="array" ref="D37">rgb_to_hex(C37)</f>
        <v>#FF0000</v>
      </c>
      <c r="F37" s="169" cm="1">
        <f t="array" ref="F37:H37">rgb_to_hsb(C37)</f>
        <v>0</v>
      </c>
      <c r="G37" s="169">
        <v>100</v>
      </c>
      <c r="H37" s="169">
        <v>100</v>
      </c>
    </row>
    <row r="38" spans="1:8" x14ac:dyDescent="0.2">
      <c r="A38" t="s">
        <v>32</v>
      </c>
      <c r="B38" s="1">
        <v>2237106</v>
      </c>
      <c r="C38" s="31" t="str" cm="1">
        <f t="array" ref="C38">long_to_rgb(B38)</f>
        <v>178, 34, 34</v>
      </c>
      <c r="D38" s="31" t="str" cm="1">
        <f t="array" ref="D38">rgb_to_hex(C38)</f>
        <v>#B22222</v>
      </c>
      <c r="F38" s="169" cm="1">
        <f t="array" ref="F38:H38">rgb_to_hsb(C38)</f>
        <v>0</v>
      </c>
      <c r="G38" s="169">
        <v>80.899000000000001</v>
      </c>
      <c r="H38" s="169">
        <v>69.804000000000002</v>
      </c>
    </row>
    <row r="39" spans="1:8" x14ac:dyDescent="0.2">
      <c r="A39" t="s">
        <v>33</v>
      </c>
      <c r="B39" s="1">
        <v>3937500</v>
      </c>
      <c r="C39" s="32" t="str" cm="1">
        <f t="array" ref="C39">long_to_rgb(B39)</f>
        <v>220, 20, 60</v>
      </c>
      <c r="D39" s="32" t="str" cm="1">
        <f t="array" ref="D39">rgb_to_hex(C39)</f>
        <v>#DC143C</v>
      </c>
      <c r="F39" s="169" cm="1">
        <f t="array" ref="F39:H39">rgb_to_hsb(C39)</f>
        <v>348</v>
      </c>
      <c r="G39" s="169">
        <v>90.909000000000006</v>
      </c>
      <c r="H39" s="169">
        <v>86.275000000000006</v>
      </c>
    </row>
    <row r="40" spans="1:8" x14ac:dyDescent="0.2">
      <c r="A40" t="s">
        <v>34</v>
      </c>
      <c r="B40" s="1">
        <v>6053069</v>
      </c>
      <c r="C40" s="33" t="str" cm="1">
        <f t="array" ref="C40">long_to_rgb(B40)</f>
        <v>205, 92, 92</v>
      </c>
      <c r="D40" s="33" t="str" cm="1">
        <f t="array" ref="D40">rgb_to_hex(C40)</f>
        <v>#CD5C5C</v>
      </c>
      <c r="F40" s="169" cm="1">
        <f t="array" ref="F40:H40">rgb_to_hsb(C40)</f>
        <v>0</v>
      </c>
      <c r="G40" s="169">
        <v>55.122</v>
      </c>
      <c r="H40" s="169">
        <v>80.391999999999996</v>
      </c>
    </row>
    <row r="41" spans="1:8" x14ac:dyDescent="0.2">
      <c r="A41" t="s">
        <v>35</v>
      </c>
      <c r="B41" s="1">
        <v>8421616</v>
      </c>
      <c r="C41" s="34" t="str" cm="1">
        <f t="array" ref="C41">long_to_rgb(B41)</f>
        <v>240, 128, 128</v>
      </c>
      <c r="D41" s="34" t="str" cm="1">
        <f t="array" ref="D41">rgb_to_hex(C41)</f>
        <v>#F08080</v>
      </c>
      <c r="F41" s="169" cm="1">
        <f t="array" ref="F41:H41">rgb_to_hsb(C41)</f>
        <v>0</v>
      </c>
      <c r="G41" s="169">
        <v>46.667000000000002</v>
      </c>
      <c r="H41" s="169">
        <v>94.117999999999995</v>
      </c>
    </row>
    <row r="42" spans="1:8" x14ac:dyDescent="0.2">
      <c r="A42" t="s">
        <v>36</v>
      </c>
      <c r="B42" s="1">
        <v>7504122</v>
      </c>
      <c r="C42" s="35" t="str" cm="1">
        <f t="array" ref="C42">long_to_rgb(B42)</f>
        <v>250, 128, 114</v>
      </c>
      <c r="D42" s="35" t="str" cm="1">
        <f t="array" ref="D42">rgb_to_hex(C42)</f>
        <v>#FA8072</v>
      </c>
      <c r="F42" s="169" cm="1">
        <f t="array" ref="F42:H42">rgb_to_hsb(C42)</f>
        <v>6.1760000000000002</v>
      </c>
      <c r="G42" s="169">
        <v>54.4</v>
      </c>
      <c r="H42" s="169">
        <v>98.039000000000001</v>
      </c>
    </row>
    <row r="43" spans="1:8" x14ac:dyDescent="0.2">
      <c r="A43" t="s">
        <v>37</v>
      </c>
      <c r="B43" s="1">
        <v>8034025</v>
      </c>
      <c r="C43" s="36" t="str" cm="1">
        <f t="array" ref="C43">long_to_rgb(B43)</f>
        <v>233, 150, 122</v>
      </c>
      <c r="D43" s="36" t="str" cm="1">
        <f t="array" ref="D43">rgb_to_hex(C43)</f>
        <v>#E9967A</v>
      </c>
      <c r="F43" s="169" cm="1">
        <f t="array" ref="F43:H43">rgb_to_hsb(C43)</f>
        <v>15.135</v>
      </c>
      <c r="G43" s="169">
        <v>47.639000000000003</v>
      </c>
      <c r="H43" s="169">
        <v>91.373000000000005</v>
      </c>
    </row>
    <row r="44" spans="1:8" x14ac:dyDescent="0.2">
      <c r="A44" t="s">
        <v>38</v>
      </c>
      <c r="B44" s="1">
        <v>8036607</v>
      </c>
      <c r="C44" s="37" t="str" cm="1">
        <f t="array" ref="C44">long_to_rgb(B44)</f>
        <v>255, 160, 122</v>
      </c>
      <c r="D44" s="37" t="str" cm="1">
        <f t="array" ref="D44">rgb_to_hex(C44)</f>
        <v>#FFA07A</v>
      </c>
      <c r="F44" s="169" cm="1">
        <f t="array" ref="F44:H44">rgb_to_hsb(C44)</f>
        <v>17.143000000000001</v>
      </c>
      <c r="G44" s="169">
        <v>52.156999999999996</v>
      </c>
      <c r="H44" s="169">
        <v>100</v>
      </c>
    </row>
    <row r="45" spans="1:8" x14ac:dyDescent="0.2">
      <c r="B45" s="1"/>
      <c r="F45" s="169"/>
      <c r="G45" s="169"/>
      <c r="H45" s="169"/>
    </row>
    <row r="46" spans="1:8" x14ac:dyDescent="0.2">
      <c r="B46" s="1"/>
      <c r="F46" s="169"/>
      <c r="G46" s="169"/>
      <c r="H46" s="169"/>
    </row>
    <row r="47" spans="1:8" x14ac:dyDescent="0.2">
      <c r="A47" t="s">
        <v>39</v>
      </c>
      <c r="B47" s="1">
        <v>17919</v>
      </c>
      <c r="C47" s="38" t="str" cm="1">
        <f t="array" ref="C47">long_to_rgb(B47)</f>
        <v>255, 69, 0</v>
      </c>
      <c r="D47" s="38" t="str" cm="1">
        <f t="array" ref="D47">rgb_to_hex(C47)</f>
        <v>#FF4500</v>
      </c>
      <c r="F47" s="169" cm="1">
        <f t="array" ref="F47:H47">rgb_to_hsb(C47)</f>
        <v>16.234999999999999</v>
      </c>
      <c r="G47" s="169">
        <v>100</v>
      </c>
      <c r="H47" s="169">
        <v>100</v>
      </c>
    </row>
    <row r="48" spans="1:8" x14ac:dyDescent="0.2">
      <c r="A48" t="s">
        <v>40</v>
      </c>
      <c r="B48" s="1">
        <v>4678655</v>
      </c>
      <c r="C48" s="39" t="str" cm="1">
        <f t="array" ref="C48">long_to_rgb(B48)</f>
        <v>255, 99, 71</v>
      </c>
      <c r="D48" s="39" t="str" cm="1">
        <f t="array" ref="D48">rgb_to_hex(C48)</f>
        <v>#FF6347</v>
      </c>
      <c r="F48" s="169" cm="1">
        <f t="array" ref="F48:H48">rgb_to_hsb(C48)</f>
        <v>9.1300000000000008</v>
      </c>
      <c r="G48" s="169">
        <v>72.156999999999996</v>
      </c>
      <c r="H48" s="169">
        <v>100</v>
      </c>
    </row>
    <row r="49" spans="1:8" x14ac:dyDescent="0.2">
      <c r="A49" t="s">
        <v>41</v>
      </c>
      <c r="B49" s="1">
        <v>36095</v>
      </c>
      <c r="C49" s="40" t="str" cm="1">
        <f t="array" ref="C49">long_to_rgb(B49)</f>
        <v>255, 140, 0</v>
      </c>
      <c r="D49" s="40" t="str" cm="1">
        <f t="array" ref="D49">rgb_to_hex(C49)</f>
        <v>#FF8C00</v>
      </c>
      <c r="F49" s="169" cm="1">
        <f t="array" ref="F49:H49">rgb_to_hsb(C49)</f>
        <v>32.941000000000003</v>
      </c>
      <c r="G49" s="169">
        <v>100</v>
      </c>
      <c r="H49" s="169">
        <v>100</v>
      </c>
    </row>
    <row r="50" spans="1:8" x14ac:dyDescent="0.2">
      <c r="A50" t="s">
        <v>42</v>
      </c>
      <c r="B50" s="1">
        <v>5275647</v>
      </c>
      <c r="C50" s="41" t="str" cm="1">
        <f t="array" ref="C50">long_to_rgb(B50)</f>
        <v>255, 127, 80</v>
      </c>
      <c r="D50" s="41" t="str" cm="1">
        <f t="array" ref="D50">rgb_to_hex(C50)</f>
        <v>#FF7F50</v>
      </c>
      <c r="F50" s="169" cm="1">
        <f t="array" ref="F50:H50">rgb_to_hsb(C50)</f>
        <v>16.114000000000001</v>
      </c>
      <c r="G50" s="169">
        <v>68.626999999999995</v>
      </c>
      <c r="H50" s="169">
        <v>100</v>
      </c>
    </row>
    <row r="51" spans="1:8" x14ac:dyDescent="0.2">
      <c r="A51" t="s">
        <v>43</v>
      </c>
      <c r="B51" s="1">
        <v>42495</v>
      </c>
      <c r="C51" s="42" t="str" cm="1">
        <f t="array" ref="C51">long_to_rgb(B51)</f>
        <v>255, 165, 0</v>
      </c>
      <c r="D51" s="42" t="str" cm="1">
        <f t="array" ref="D51">rgb_to_hex(C51)</f>
        <v>#FFA500</v>
      </c>
      <c r="F51" s="169" cm="1">
        <f t="array" ref="F51:H51">rgb_to_hsb(C51)</f>
        <v>38.823999999999998</v>
      </c>
      <c r="G51" s="169">
        <v>100</v>
      </c>
      <c r="H51" s="169">
        <v>100</v>
      </c>
    </row>
    <row r="52" spans="1:8" x14ac:dyDescent="0.2">
      <c r="B52" s="1"/>
      <c r="F52" s="169"/>
      <c r="G52" s="169"/>
      <c r="H52" s="169"/>
    </row>
    <row r="53" spans="1:8" x14ac:dyDescent="0.2">
      <c r="B53" s="1"/>
      <c r="F53" s="169"/>
      <c r="G53" s="169"/>
      <c r="H53" s="169"/>
    </row>
    <row r="54" spans="1:8" x14ac:dyDescent="0.2">
      <c r="A54" t="s">
        <v>44</v>
      </c>
      <c r="B54" s="1">
        <v>7059389</v>
      </c>
      <c r="C54" s="43" t="str" cm="1">
        <f t="array" ref="C54">long_to_rgb(B54)</f>
        <v>189, 183, 107</v>
      </c>
      <c r="D54" s="43" t="str" cm="1">
        <f t="array" ref="D54">rgb_to_hex(C54)</f>
        <v>#BDB76B</v>
      </c>
      <c r="F54" s="169" cm="1">
        <f t="array" ref="F54:H54">rgb_to_hsb(C54)</f>
        <v>55.61</v>
      </c>
      <c r="G54" s="169">
        <v>43.386000000000003</v>
      </c>
      <c r="H54" s="169">
        <v>74.117999999999995</v>
      </c>
    </row>
    <row r="55" spans="1:8" x14ac:dyDescent="0.2">
      <c r="A55" t="s">
        <v>45</v>
      </c>
      <c r="B55" s="1">
        <v>55295</v>
      </c>
      <c r="C55" s="44" t="str" cm="1">
        <f t="array" ref="C55">long_to_rgb(B55)</f>
        <v>255, 215, 0</v>
      </c>
      <c r="D55" s="44" t="str" cm="1">
        <f t="array" ref="D55">rgb_to_hex(C55)</f>
        <v>#FFD700</v>
      </c>
      <c r="F55" s="169" cm="1">
        <f t="array" ref="F55:H55">rgb_to_hsb(C55)</f>
        <v>50.588000000000001</v>
      </c>
      <c r="G55" s="169">
        <v>100</v>
      </c>
      <c r="H55" s="169">
        <v>100</v>
      </c>
    </row>
    <row r="56" spans="1:8" x14ac:dyDescent="0.2">
      <c r="A56" t="s">
        <v>46</v>
      </c>
      <c r="B56" s="1">
        <v>9234160</v>
      </c>
      <c r="C56" s="45" t="str" cm="1">
        <f t="array" ref="C56">long_to_rgb(B56)</f>
        <v>240, 230, 140</v>
      </c>
      <c r="D56" s="45" t="str" cm="1">
        <f t="array" ref="D56">rgb_to_hex(C56)</f>
        <v>#F0E68C</v>
      </c>
      <c r="F56" s="169" cm="1">
        <f t="array" ref="F56:H56">rgb_to_hsb(C56)</f>
        <v>54</v>
      </c>
      <c r="G56" s="169">
        <v>41.667000000000002</v>
      </c>
      <c r="H56" s="169">
        <v>94.117999999999995</v>
      </c>
    </row>
    <row r="57" spans="1:8" x14ac:dyDescent="0.2">
      <c r="A57" t="s">
        <v>47</v>
      </c>
      <c r="B57" s="1">
        <v>12180223</v>
      </c>
      <c r="C57" s="46" t="str" cm="1">
        <f t="array" ref="C57">long_to_rgb(B57)</f>
        <v>255, 218, 185</v>
      </c>
      <c r="D57" s="46" t="str" cm="1">
        <f t="array" ref="D57">rgb_to_hex(C57)</f>
        <v>#FFDAB9</v>
      </c>
      <c r="F57" s="169" cm="1">
        <f t="array" ref="F57:H57">rgb_to_hsb(C57)</f>
        <v>28.286000000000001</v>
      </c>
      <c r="G57" s="169">
        <v>27.451000000000001</v>
      </c>
      <c r="H57" s="169">
        <v>100</v>
      </c>
    </row>
    <row r="58" spans="1:8" x14ac:dyDescent="0.2">
      <c r="A58" t="s">
        <v>48</v>
      </c>
      <c r="B58" s="1">
        <v>65535</v>
      </c>
      <c r="C58" s="47" t="str" cm="1">
        <f t="array" ref="C58">long_to_rgb(B58)</f>
        <v>255, 255, 0</v>
      </c>
      <c r="D58" s="47" t="str" cm="1">
        <f t="array" ref="D58">rgb_to_hex(C58)</f>
        <v>#FFFF00</v>
      </c>
      <c r="F58" s="169" cm="1">
        <f t="array" ref="F58:H58">rgb_to_hsb(C58)</f>
        <v>60</v>
      </c>
      <c r="G58" s="169">
        <v>100</v>
      </c>
      <c r="H58" s="169">
        <v>100</v>
      </c>
    </row>
    <row r="59" spans="1:8" x14ac:dyDescent="0.2">
      <c r="A59" t="s">
        <v>49</v>
      </c>
      <c r="B59" s="1">
        <v>11200750</v>
      </c>
      <c r="C59" s="48" t="str" cm="1">
        <f t="array" ref="C59">long_to_rgb(B59)</f>
        <v>238, 232, 170</v>
      </c>
      <c r="D59" s="48" t="str" cm="1">
        <f t="array" ref="D59">rgb_to_hex(C59)</f>
        <v>#EEE8AA</v>
      </c>
      <c r="F59" s="169" cm="1">
        <f t="array" ref="F59:H59">rgb_to_hsb(C59)</f>
        <v>54.706000000000003</v>
      </c>
      <c r="G59" s="169">
        <v>28.571000000000002</v>
      </c>
      <c r="H59" s="169">
        <v>93.332999999999998</v>
      </c>
    </row>
    <row r="60" spans="1:8" x14ac:dyDescent="0.2">
      <c r="A60" t="s">
        <v>50</v>
      </c>
      <c r="B60" s="1">
        <v>11920639</v>
      </c>
      <c r="C60" s="49" t="str" cm="1">
        <f t="array" ref="C60">long_to_rgb(B60)</f>
        <v>255, 228, 181</v>
      </c>
      <c r="D60" s="49" t="str" cm="1">
        <f t="array" ref="D60">rgb_to_hex(C60)</f>
        <v>#FFE4B5</v>
      </c>
      <c r="F60" s="169" cm="1">
        <f t="array" ref="F60:H60">rgb_to_hsb(C60)</f>
        <v>38.107999999999997</v>
      </c>
      <c r="G60" s="169">
        <v>29.02</v>
      </c>
      <c r="H60" s="169">
        <v>100</v>
      </c>
    </row>
    <row r="61" spans="1:8" x14ac:dyDescent="0.2">
      <c r="A61" t="s">
        <v>51</v>
      </c>
      <c r="B61" s="1">
        <v>14020607</v>
      </c>
      <c r="C61" s="50" t="str" cm="1">
        <f t="array" ref="C61">long_to_rgb(B61)</f>
        <v>255, 239, 213</v>
      </c>
      <c r="D61" s="50" t="str" cm="1">
        <f t="array" ref="D61">rgb_to_hex(C61)</f>
        <v>#FFEFD5</v>
      </c>
      <c r="F61" s="169" cm="1">
        <f t="array" ref="F61:H61">rgb_to_hsb(C61)</f>
        <v>37.143000000000001</v>
      </c>
      <c r="G61" s="169">
        <v>16.471</v>
      </c>
      <c r="H61" s="169">
        <v>100</v>
      </c>
    </row>
    <row r="62" spans="1:8" x14ac:dyDescent="0.2">
      <c r="A62" t="s">
        <v>52</v>
      </c>
      <c r="B62" s="1">
        <v>13826810</v>
      </c>
      <c r="C62" s="51" t="str" cm="1">
        <f t="array" ref="C62">long_to_rgb(B62)</f>
        <v>250, 250, 210</v>
      </c>
      <c r="D62" s="51" t="str" cm="1">
        <f t="array" ref="D62">rgb_to_hex(C62)</f>
        <v>#FAFAD2</v>
      </c>
      <c r="F62" s="169" cm="1">
        <f t="array" ref="F62:H62">rgb_to_hsb(C62)</f>
        <v>60</v>
      </c>
      <c r="G62" s="169">
        <v>16</v>
      </c>
      <c r="H62" s="169">
        <v>98.039000000000001</v>
      </c>
    </row>
    <row r="63" spans="1:8" x14ac:dyDescent="0.2">
      <c r="A63" t="s">
        <v>53</v>
      </c>
      <c r="B63" s="1">
        <v>13499135</v>
      </c>
      <c r="C63" s="52" t="str" cm="1">
        <f t="array" ref="C63">long_to_rgb(B63)</f>
        <v>255, 250, 205</v>
      </c>
      <c r="D63" s="52" t="str" cm="1">
        <f t="array" ref="D63">rgb_to_hex(C63)</f>
        <v>#FFFACD</v>
      </c>
      <c r="F63" s="169" cm="1">
        <f t="array" ref="F63:H63">rgb_to_hsb(C63)</f>
        <v>54</v>
      </c>
      <c r="G63" s="169">
        <v>19.608000000000001</v>
      </c>
      <c r="H63" s="169">
        <v>100</v>
      </c>
    </row>
    <row r="64" spans="1:8" x14ac:dyDescent="0.2">
      <c r="A64" t="s">
        <v>54</v>
      </c>
      <c r="B64" s="1">
        <v>14745599</v>
      </c>
      <c r="C64" s="53" t="str" cm="1">
        <f t="array" ref="C64">long_to_rgb(B64)</f>
        <v>255, 255, 224</v>
      </c>
      <c r="D64" s="53" t="str" cm="1">
        <f t="array" ref="D64">rgb_to_hex(C64)</f>
        <v>#FFFFE0</v>
      </c>
      <c r="F64" s="169" cm="1">
        <f t="array" ref="F64:H64">rgb_to_hsb(C64)</f>
        <v>60</v>
      </c>
      <c r="G64" s="169">
        <v>12.157</v>
      </c>
      <c r="H64" s="169">
        <v>100</v>
      </c>
    </row>
    <row r="65" spans="1:8" x14ac:dyDescent="0.2">
      <c r="B65" s="1"/>
      <c r="F65" s="169"/>
      <c r="G65" s="169"/>
      <c r="H65" s="169"/>
    </row>
    <row r="66" spans="1:8" x14ac:dyDescent="0.2">
      <c r="B66" s="1"/>
      <c r="F66" s="169"/>
      <c r="G66" s="169"/>
      <c r="H66" s="169"/>
    </row>
    <row r="67" spans="1:8" x14ac:dyDescent="0.2">
      <c r="A67" t="s">
        <v>55</v>
      </c>
      <c r="B67" s="1">
        <v>128</v>
      </c>
      <c r="C67" s="54" t="str" cm="1">
        <f t="array" ref="C67">long_to_rgb(B67)</f>
        <v>128, 0, 0</v>
      </c>
      <c r="D67" s="54" t="str" cm="1">
        <f t="array" ref="D67">rgb_to_hex(C67)</f>
        <v>#800000</v>
      </c>
      <c r="F67" s="169" cm="1">
        <f t="array" ref="F67:H67">rgb_to_hsb(C67)</f>
        <v>0</v>
      </c>
      <c r="G67" s="169">
        <v>100</v>
      </c>
      <c r="H67" s="169">
        <v>50.195999999999998</v>
      </c>
    </row>
    <row r="68" spans="1:8" x14ac:dyDescent="0.2">
      <c r="A68" t="s">
        <v>56</v>
      </c>
      <c r="B68" s="1">
        <v>2763429</v>
      </c>
      <c r="C68" s="55" t="str" cm="1">
        <f t="array" ref="C68">long_to_rgb(B68)</f>
        <v>165, 42, 42</v>
      </c>
      <c r="D68" s="55" t="str" cm="1">
        <f t="array" ref="D68">rgb_to_hex(C68)</f>
        <v>#A52A2A</v>
      </c>
      <c r="F68" s="169" cm="1">
        <f t="array" ref="F68:H68">rgb_to_hsb(C68)</f>
        <v>0</v>
      </c>
      <c r="G68" s="169">
        <v>74.545000000000002</v>
      </c>
      <c r="H68" s="169">
        <v>64.706000000000003</v>
      </c>
    </row>
    <row r="69" spans="1:8" x14ac:dyDescent="0.2">
      <c r="A69" t="s">
        <v>57</v>
      </c>
      <c r="B69" s="1">
        <v>1262987</v>
      </c>
      <c r="C69" s="56" t="str" cm="1">
        <f t="array" ref="C69">long_to_rgb(B69)</f>
        <v>139, 69, 19</v>
      </c>
      <c r="D69" s="56" t="str" cm="1">
        <f t="array" ref="D69">rgb_to_hex(C69)</f>
        <v>#8B4513</v>
      </c>
      <c r="F69" s="169" cm="1">
        <f t="array" ref="F69:H69">rgb_to_hsb(C69)</f>
        <v>25</v>
      </c>
      <c r="G69" s="169">
        <v>86.331000000000003</v>
      </c>
      <c r="H69" s="169">
        <v>54.51</v>
      </c>
    </row>
    <row r="70" spans="1:8" x14ac:dyDescent="0.2">
      <c r="A70" t="s">
        <v>58</v>
      </c>
      <c r="B70" s="1">
        <v>2970272</v>
      </c>
      <c r="C70" s="57" t="str" cm="1">
        <f t="array" ref="C70">long_to_rgb(B70)</f>
        <v>160, 82, 45</v>
      </c>
      <c r="D70" s="57" t="str" cm="1">
        <f t="array" ref="D70">rgb_to_hex(C70)</f>
        <v>#A0522D</v>
      </c>
      <c r="F70" s="169" cm="1">
        <f t="array" ref="F70:H70">rgb_to_hsb(C70)</f>
        <v>19.303999999999998</v>
      </c>
      <c r="G70" s="169">
        <v>71.875</v>
      </c>
      <c r="H70" s="169">
        <v>62.744999999999997</v>
      </c>
    </row>
    <row r="71" spans="1:8" x14ac:dyDescent="0.2">
      <c r="A71" t="s">
        <v>59</v>
      </c>
      <c r="B71" s="1">
        <v>1993170</v>
      </c>
      <c r="C71" s="58" t="str" cm="1">
        <f t="array" ref="C71">long_to_rgb(B71)</f>
        <v>210, 105, 30</v>
      </c>
      <c r="D71" s="58" t="str" cm="1">
        <f t="array" ref="D71">rgb_to_hex(C71)</f>
        <v>#D2691E</v>
      </c>
      <c r="F71" s="169" cm="1">
        <f t="array" ref="F71:H71">rgb_to_hsb(C71)</f>
        <v>25</v>
      </c>
      <c r="G71" s="169">
        <v>85.713999999999999</v>
      </c>
      <c r="H71" s="169">
        <v>82.352999999999994</v>
      </c>
    </row>
    <row r="72" spans="1:8" x14ac:dyDescent="0.2">
      <c r="A72" t="s">
        <v>60</v>
      </c>
      <c r="B72" s="1">
        <v>755384</v>
      </c>
      <c r="C72" s="59" t="str" cm="1">
        <f t="array" ref="C72">long_to_rgb(B72)</f>
        <v>184, 134, 11</v>
      </c>
      <c r="D72" s="59" t="str" cm="1">
        <f t="array" ref="D72">rgb_to_hex(C72)</f>
        <v>#B8860B</v>
      </c>
      <c r="F72" s="169" cm="1">
        <f t="array" ref="F72:H72">rgb_to_hsb(C72)</f>
        <v>42.658999999999999</v>
      </c>
      <c r="G72" s="169">
        <v>94.022000000000006</v>
      </c>
      <c r="H72" s="169">
        <v>72.156999999999996</v>
      </c>
    </row>
    <row r="73" spans="1:8" x14ac:dyDescent="0.2">
      <c r="A73" t="s">
        <v>61</v>
      </c>
      <c r="B73" s="1">
        <v>4163021</v>
      </c>
      <c r="C73" s="60" t="str" cm="1">
        <f t="array" ref="C73">long_to_rgb(B73)</f>
        <v>205, 133, 63</v>
      </c>
      <c r="D73" s="60" t="str" cm="1">
        <f t="array" ref="D73">rgb_to_hex(C73)</f>
        <v>#CD853F</v>
      </c>
      <c r="F73" s="169" cm="1">
        <f t="array" ref="F73:H73">rgb_to_hsb(C73)</f>
        <v>29.577000000000002</v>
      </c>
      <c r="G73" s="169">
        <v>69.268000000000001</v>
      </c>
      <c r="H73" s="169">
        <v>80.391999999999996</v>
      </c>
    </row>
    <row r="74" spans="1:8" x14ac:dyDescent="0.2">
      <c r="A74" t="s">
        <v>62</v>
      </c>
      <c r="B74" s="1">
        <v>9408444</v>
      </c>
      <c r="C74" s="61" t="str" cm="1">
        <f t="array" ref="C74">long_to_rgb(B74)</f>
        <v>188, 143, 143</v>
      </c>
      <c r="D74" s="61" t="str" cm="1">
        <f t="array" ref="D74">rgb_to_hex(C74)</f>
        <v>#BC8F8F</v>
      </c>
      <c r="F74" s="169" cm="1">
        <f t="array" ref="F74:H74">rgb_to_hsb(C74)</f>
        <v>0</v>
      </c>
      <c r="G74" s="169">
        <v>23.936</v>
      </c>
      <c r="H74" s="169">
        <v>73.724999999999994</v>
      </c>
    </row>
    <row r="75" spans="1:8" x14ac:dyDescent="0.2">
      <c r="A75" t="s">
        <v>63</v>
      </c>
      <c r="B75" s="1">
        <v>2139610</v>
      </c>
      <c r="C75" s="62" t="str" cm="1">
        <f t="array" ref="C75">long_to_rgb(B75)</f>
        <v>218, 165, 32</v>
      </c>
      <c r="D75" s="62" t="str" cm="1">
        <f t="array" ref="D75">rgb_to_hex(C75)</f>
        <v>#DAA520</v>
      </c>
      <c r="F75" s="169" cm="1">
        <f t="array" ref="F75:H75">rgb_to_hsb(C75)</f>
        <v>42.902999999999999</v>
      </c>
      <c r="G75" s="169">
        <v>85.320999999999998</v>
      </c>
      <c r="H75" s="169">
        <v>85.49</v>
      </c>
    </row>
    <row r="76" spans="1:8" x14ac:dyDescent="0.2">
      <c r="A76" t="s">
        <v>64</v>
      </c>
      <c r="B76" s="1">
        <v>6333684</v>
      </c>
      <c r="C76" s="63" t="str" cm="1">
        <f t="array" ref="C76">long_to_rgb(B76)</f>
        <v>244, 164, 96</v>
      </c>
      <c r="D76" s="63" t="str" cm="1">
        <f t="array" ref="D76">rgb_to_hex(C76)</f>
        <v>#F4A460</v>
      </c>
      <c r="F76" s="169" cm="1">
        <f t="array" ref="F76:H76">rgb_to_hsb(C76)</f>
        <v>27.568000000000001</v>
      </c>
      <c r="G76" s="169">
        <v>60.655999999999999</v>
      </c>
      <c r="H76" s="169">
        <v>95.686000000000007</v>
      </c>
    </row>
    <row r="77" spans="1:8" x14ac:dyDescent="0.2">
      <c r="A77" t="s">
        <v>65</v>
      </c>
      <c r="B77" s="1">
        <v>9221330</v>
      </c>
      <c r="C77" s="64" t="str" cm="1">
        <f t="array" ref="C77">long_to_rgb(B77)</f>
        <v>210, 180, 140</v>
      </c>
      <c r="D77" s="64" t="str" cm="1">
        <f t="array" ref="D77">rgb_to_hex(C77)</f>
        <v>#D2B48C</v>
      </c>
      <c r="F77" s="169" cm="1">
        <f t="array" ref="F77:H77">rgb_to_hsb(C77)</f>
        <v>34.286000000000001</v>
      </c>
      <c r="G77" s="169">
        <v>33.332999999999998</v>
      </c>
      <c r="H77" s="169">
        <v>82.352999999999994</v>
      </c>
    </row>
    <row r="78" spans="1:8" x14ac:dyDescent="0.2">
      <c r="A78" t="s">
        <v>66</v>
      </c>
      <c r="B78" s="1">
        <v>8894686</v>
      </c>
      <c r="C78" s="65" t="str" cm="1">
        <f t="array" ref="C78">long_to_rgb(B78)</f>
        <v>222, 184, 135</v>
      </c>
      <c r="D78" s="65" t="str" cm="1">
        <f t="array" ref="D78">rgb_to_hex(C78)</f>
        <v>#DEB887</v>
      </c>
      <c r="F78" s="169" cm="1">
        <f t="array" ref="F78:H78">rgb_to_hsb(C78)</f>
        <v>33.792999999999999</v>
      </c>
      <c r="G78" s="169">
        <v>39.189</v>
      </c>
      <c r="H78" s="169">
        <v>87.058999999999997</v>
      </c>
    </row>
    <row r="79" spans="1:8" x14ac:dyDescent="0.2">
      <c r="A79" t="s">
        <v>67</v>
      </c>
      <c r="B79" s="1">
        <v>11788021</v>
      </c>
      <c r="C79" s="66" t="str" cm="1">
        <f t="array" ref="C79">long_to_rgb(B79)</f>
        <v>245, 222, 179</v>
      </c>
      <c r="D79" s="66" t="str" cm="1">
        <f t="array" ref="D79">rgb_to_hex(C79)</f>
        <v>#F5DEB3</v>
      </c>
      <c r="F79" s="169" cm="1">
        <f t="array" ref="F79:H79">rgb_to_hsb(C79)</f>
        <v>39.091000000000001</v>
      </c>
      <c r="G79" s="169">
        <v>26.939</v>
      </c>
      <c r="H79" s="169">
        <v>96.078000000000003</v>
      </c>
    </row>
    <row r="80" spans="1:8" x14ac:dyDescent="0.2">
      <c r="A80" t="s">
        <v>68</v>
      </c>
      <c r="B80" s="1">
        <v>11394815</v>
      </c>
      <c r="C80" s="67" t="str" cm="1">
        <f t="array" ref="C80">long_to_rgb(B80)</f>
        <v>255, 222, 173</v>
      </c>
      <c r="D80" s="67" t="str" cm="1">
        <f t="array" ref="D80">rgb_to_hex(C80)</f>
        <v>#FFDEAD</v>
      </c>
      <c r="F80" s="169" cm="1">
        <f t="array" ref="F80:H80">rgb_to_hsb(C80)</f>
        <v>35.853999999999999</v>
      </c>
      <c r="G80" s="169">
        <v>32.156999999999996</v>
      </c>
      <c r="H80" s="169">
        <v>100</v>
      </c>
    </row>
    <row r="81" spans="1:8" x14ac:dyDescent="0.2">
      <c r="A81" t="s">
        <v>69</v>
      </c>
      <c r="B81" s="1">
        <v>12903679</v>
      </c>
      <c r="C81" s="68" t="str" cm="1">
        <f t="array" ref="C81">long_to_rgb(B81)</f>
        <v>255, 228, 196</v>
      </c>
      <c r="D81" s="68" t="str" cm="1">
        <f t="array" ref="D81">rgb_to_hex(C81)</f>
        <v>#FFE4C4</v>
      </c>
      <c r="F81" s="169" cm="1">
        <f t="array" ref="F81:H81">rgb_to_hsb(C81)</f>
        <v>32.542000000000002</v>
      </c>
      <c r="G81" s="169">
        <v>23.137</v>
      </c>
      <c r="H81" s="169">
        <v>100</v>
      </c>
    </row>
    <row r="82" spans="1:8" x14ac:dyDescent="0.2">
      <c r="A82" t="s">
        <v>70</v>
      </c>
      <c r="B82" s="1">
        <v>13495295</v>
      </c>
      <c r="C82" s="69" t="str" cm="1">
        <f t="array" ref="C82">long_to_rgb(B82)</f>
        <v>255, 235, 205</v>
      </c>
      <c r="D82" s="69" t="str" cm="1">
        <f t="array" ref="D82">rgb_to_hex(C82)</f>
        <v>#FFEBCD</v>
      </c>
      <c r="F82" s="169" cm="1">
        <f t="array" ref="F82:H82">rgb_to_hsb(C82)</f>
        <v>36</v>
      </c>
      <c r="G82" s="169">
        <v>19.608000000000001</v>
      </c>
      <c r="H82" s="169">
        <v>100</v>
      </c>
    </row>
    <row r="83" spans="1:8" x14ac:dyDescent="0.2">
      <c r="A83" t="s">
        <v>71</v>
      </c>
      <c r="B83" s="1">
        <v>14481663</v>
      </c>
      <c r="C83" s="70" t="str" cm="1">
        <f t="array" ref="C83">long_to_rgb(B83)</f>
        <v>255, 248, 220</v>
      </c>
      <c r="D83" s="70" t="str" cm="1">
        <f t="array" ref="D83">rgb_to_hex(C83)</f>
        <v>#FFF8DC</v>
      </c>
      <c r="F83" s="169" cm="1">
        <f t="array" ref="F83:H83">rgb_to_hsb(C83)</f>
        <v>48</v>
      </c>
      <c r="G83" s="169">
        <v>13.725</v>
      </c>
      <c r="H83" s="169">
        <v>100</v>
      </c>
    </row>
    <row r="84" spans="1:8" x14ac:dyDescent="0.2">
      <c r="B84" s="1"/>
      <c r="F84" s="169"/>
      <c r="G84" s="169"/>
      <c r="H84" s="169"/>
    </row>
    <row r="85" spans="1:8" x14ac:dyDescent="0.2">
      <c r="B85" s="1"/>
      <c r="F85" s="169"/>
      <c r="G85" s="169"/>
      <c r="H85" s="169"/>
    </row>
    <row r="86" spans="1:8" x14ac:dyDescent="0.2">
      <c r="A86" t="s">
        <v>72</v>
      </c>
      <c r="B86" s="1">
        <v>8519755</v>
      </c>
      <c r="C86" s="71" t="str" cm="1">
        <f t="array" ref="C86">long_to_rgb(B86)</f>
        <v>75, 0, 130</v>
      </c>
      <c r="D86" s="71" t="str" cm="1">
        <f t="array" ref="D86">rgb_to_hex(C86)</f>
        <v>#4B0082</v>
      </c>
      <c r="F86" s="169" cm="1">
        <f t="array" ref="F86:H86">rgb_to_hsb(C86)</f>
        <v>274.61500000000001</v>
      </c>
      <c r="G86" s="169">
        <v>100</v>
      </c>
      <c r="H86" s="169">
        <v>50.98</v>
      </c>
    </row>
    <row r="87" spans="1:8" x14ac:dyDescent="0.2">
      <c r="A87" t="s">
        <v>73</v>
      </c>
      <c r="B87" s="1">
        <v>8388736</v>
      </c>
      <c r="C87" s="72" t="str" cm="1">
        <f t="array" ref="C87">long_to_rgb(B87)</f>
        <v>128, 0, 128</v>
      </c>
      <c r="D87" s="72" t="str" cm="1">
        <f t="array" ref="D87">rgb_to_hex(C87)</f>
        <v>#800080</v>
      </c>
      <c r="F87" s="169" cm="1">
        <f t="array" ref="F87:H87">rgb_to_hsb(C87)</f>
        <v>300</v>
      </c>
      <c r="G87" s="169">
        <v>100</v>
      </c>
      <c r="H87" s="169">
        <v>50.195999999999998</v>
      </c>
    </row>
    <row r="88" spans="1:8" x14ac:dyDescent="0.2">
      <c r="A88" t="s">
        <v>74</v>
      </c>
      <c r="B88" s="1">
        <v>9109643</v>
      </c>
      <c r="C88" s="73" t="str" cm="1">
        <f t="array" ref="C88">long_to_rgb(B88)</f>
        <v>139, 0, 139</v>
      </c>
      <c r="D88" s="73" t="str" cm="1">
        <f t="array" ref="D88">rgb_to_hex(C88)</f>
        <v>#8B008B</v>
      </c>
      <c r="F88" s="169" cm="1">
        <f t="array" ref="F88:H88">rgb_to_hsb(C88)</f>
        <v>300</v>
      </c>
      <c r="G88" s="169">
        <v>100</v>
      </c>
      <c r="H88" s="169">
        <v>54.51</v>
      </c>
    </row>
    <row r="89" spans="1:8" x14ac:dyDescent="0.2">
      <c r="A89" t="s">
        <v>75</v>
      </c>
      <c r="B89" s="1">
        <v>13828244</v>
      </c>
      <c r="C89" s="74" t="str" cm="1">
        <f t="array" ref="C89">long_to_rgb(B89)</f>
        <v>148, 0, 211</v>
      </c>
      <c r="D89" s="74" t="str" cm="1">
        <f t="array" ref="D89">rgb_to_hex(C89)</f>
        <v>#9400D3</v>
      </c>
      <c r="F89" s="169" cm="1">
        <f t="array" ref="F89:H89">rgb_to_hsb(C89)</f>
        <v>282.08499999999998</v>
      </c>
      <c r="G89" s="169">
        <v>100</v>
      </c>
      <c r="H89" s="169">
        <v>82.745000000000005</v>
      </c>
    </row>
    <row r="90" spans="1:8" x14ac:dyDescent="0.2">
      <c r="A90" t="s">
        <v>76</v>
      </c>
      <c r="B90" s="1">
        <v>9125192</v>
      </c>
      <c r="C90" s="75" t="str" cm="1">
        <f t="array" ref="C90">long_to_rgb(B90)</f>
        <v>72, 61, 139</v>
      </c>
      <c r="D90" s="75" t="str" cm="1">
        <f t="array" ref="D90">rgb_to_hex(C90)</f>
        <v>#483D8B</v>
      </c>
      <c r="F90" s="169" cm="1">
        <f t="array" ref="F90:H90">rgb_to_hsb(C90)</f>
        <v>248.46199999999999</v>
      </c>
      <c r="G90" s="169">
        <v>56.115000000000002</v>
      </c>
      <c r="H90" s="169">
        <v>54.51</v>
      </c>
    </row>
    <row r="91" spans="1:8" x14ac:dyDescent="0.2">
      <c r="A91" t="s">
        <v>77</v>
      </c>
      <c r="B91" s="1">
        <v>14822282</v>
      </c>
      <c r="C91" s="76" t="str" cm="1">
        <f t="array" ref="C91">long_to_rgb(B91)</f>
        <v>138, 43, 226</v>
      </c>
      <c r="D91" s="76" t="str" cm="1">
        <f t="array" ref="D91">rgb_to_hex(C91)</f>
        <v>#8A2BE2</v>
      </c>
      <c r="F91" s="169" cm="1">
        <f t="array" ref="F91:H91">rgb_to_hsb(C91)</f>
        <v>271.14800000000002</v>
      </c>
      <c r="G91" s="169">
        <v>80.972999999999999</v>
      </c>
      <c r="H91" s="169">
        <v>88.626999999999995</v>
      </c>
    </row>
    <row r="92" spans="1:8" x14ac:dyDescent="0.2">
      <c r="A92" t="s">
        <v>78</v>
      </c>
      <c r="B92" s="1">
        <v>13382297</v>
      </c>
      <c r="C92" s="77" t="str" cm="1">
        <f t="array" ref="C92">long_to_rgb(B92)</f>
        <v>153, 50, 204</v>
      </c>
      <c r="D92" s="77" t="str" cm="1">
        <f t="array" ref="D92">rgb_to_hex(C92)</f>
        <v>#9932CC</v>
      </c>
      <c r="F92" s="169" cm="1">
        <f t="array" ref="F92:H92">rgb_to_hsb(C92)</f>
        <v>280.13</v>
      </c>
      <c r="G92" s="169">
        <v>75.489999999999995</v>
      </c>
      <c r="H92" s="169">
        <v>80</v>
      </c>
    </row>
    <row r="93" spans="1:8" x14ac:dyDescent="0.2">
      <c r="A93" t="s">
        <v>79</v>
      </c>
      <c r="B93" s="1">
        <v>16711935</v>
      </c>
      <c r="C93" s="78" t="str" cm="1">
        <f t="array" ref="C93">long_to_rgb(B93)</f>
        <v>255, 0, 255</v>
      </c>
      <c r="D93" s="78" t="str" cm="1">
        <f t="array" ref="D93">rgb_to_hex(C93)</f>
        <v>#FF00FF</v>
      </c>
      <c r="F93" s="169" cm="1">
        <f t="array" ref="F93:H93">rgb_to_hsb(C93)</f>
        <v>300</v>
      </c>
      <c r="G93" s="169">
        <v>100</v>
      </c>
      <c r="H93" s="169">
        <v>100</v>
      </c>
    </row>
    <row r="94" spans="1:8" x14ac:dyDescent="0.2">
      <c r="A94" t="s">
        <v>80</v>
      </c>
      <c r="B94" s="1">
        <v>16711935</v>
      </c>
      <c r="C94" s="78" t="str" cm="1">
        <f t="array" ref="C94">long_to_rgb(B94)</f>
        <v>255, 0, 255</v>
      </c>
      <c r="D94" s="78" t="str" cm="1">
        <f t="array" ref="D94">rgb_to_hex(C94)</f>
        <v>#FF00FF</v>
      </c>
      <c r="F94" s="169" cm="1">
        <f t="array" ref="F94:H94">rgb_to_hsb(C94)</f>
        <v>300</v>
      </c>
      <c r="G94" s="169">
        <v>100</v>
      </c>
      <c r="H94" s="169">
        <v>100</v>
      </c>
    </row>
    <row r="95" spans="1:8" x14ac:dyDescent="0.2">
      <c r="A95" t="s">
        <v>81</v>
      </c>
      <c r="B95" s="1">
        <v>13458026</v>
      </c>
      <c r="C95" s="79" t="str" cm="1">
        <f t="array" ref="C95">long_to_rgb(B95)</f>
        <v>106, 90, 205</v>
      </c>
      <c r="D95" s="79" t="str" cm="1">
        <f t="array" ref="D95">rgb_to_hex(C95)</f>
        <v>#6A5ACD</v>
      </c>
      <c r="F95" s="169" cm="1">
        <f t="array" ref="F95:H95">rgb_to_hsb(C95)</f>
        <v>248.34800000000001</v>
      </c>
      <c r="G95" s="169">
        <v>56.097999999999999</v>
      </c>
      <c r="H95" s="169">
        <v>80.391999999999996</v>
      </c>
    </row>
    <row r="96" spans="1:8" x14ac:dyDescent="0.2">
      <c r="A96" t="s">
        <v>82</v>
      </c>
      <c r="B96" s="1">
        <v>15624315</v>
      </c>
      <c r="C96" s="80" t="str" cm="1">
        <f t="array" ref="C96">long_to_rgb(B96)</f>
        <v>123, 104, 238</v>
      </c>
      <c r="D96" s="80" t="str" cm="1">
        <f t="array" ref="D96">rgb_to_hex(C96)</f>
        <v>#7B68EE</v>
      </c>
      <c r="F96" s="169" cm="1">
        <f t="array" ref="F96:H96">rgb_to_hsb(C96)</f>
        <v>248.50700000000001</v>
      </c>
      <c r="G96" s="169">
        <v>56.302999999999997</v>
      </c>
      <c r="H96" s="169">
        <v>93.332999999999998</v>
      </c>
    </row>
    <row r="97" spans="1:8" x14ac:dyDescent="0.2">
      <c r="A97" t="s">
        <v>83</v>
      </c>
      <c r="B97" s="1">
        <v>13850042</v>
      </c>
      <c r="C97" s="81" t="str" cm="1">
        <f t="array" ref="C97">long_to_rgb(B97)</f>
        <v>186, 85, 211</v>
      </c>
      <c r="D97" s="81" t="str" cm="1">
        <f t="array" ref="D97">rgb_to_hex(C97)</f>
        <v>#BA55D3</v>
      </c>
      <c r="F97" s="169" cm="1">
        <f t="array" ref="F97:H97">rgb_to_hsb(C97)</f>
        <v>288.09500000000003</v>
      </c>
      <c r="G97" s="169">
        <v>59.716000000000001</v>
      </c>
      <c r="H97" s="169">
        <v>82.745000000000005</v>
      </c>
    </row>
    <row r="98" spans="1:8" x14ac:dyDescent="0.2">
      <c r="A98" t="s">
        <v>84</v>
      </c>
      <c r="B98" s="1">
        <v>14381203</v>
      </c>
      <c r="C98" s="82" t="str" cm="1">
        <f t="array" ref="C98">long_to_rgb(B98)</f>
        <v>147, 112, 219</v>
      </c>
      <c r="D98" s="82" t="str" cm="1">
        <f t="array" ref="D98">rgb_to_hex(C98)</f>
        <v>#9370DB</v>
      </c>
      <c r="F98" s="169" cm="1">
        <f t="array" ref="F98:H98">rgb_to_hsb(C98)</f>
        <v>259.62599999999998</v>
      </c>
      <c r="G98" s="169">
        <v>48.857999999999997</v>
      </c>
      <c r="H98" s="169">
        <v>85.882000000000005</v>
      </c>
    </row>
    <row r="99" spans="1:8" x14ac:dyDescent="0.2">
      <c r="A99" t="s">
        <v>85</v>
      </c>
      <c r="B99" s="1">
        <v>14053594</v>
      </c>
      <c r="C99" s="83" t="str" cm="1">
        <f t="array" ref="C99">long_to_rgb(B99)</f>
        <v>218, 112, 214</v>
      </c>
      <c r="D99" s="83" t="str" cm="1">
        <f t="array" ref="D99">rgb_to_hex(C99)</f>
        <v>#DA70D6</v>
      </c>
      <c r="F99" s="169" cm="1">
        <f t="array" ref="F99:H99">rgb_to_hsb(C99)</f>
        <v>302.26400000000001</v>
      </c>
      <c r="G99" s="169">
        <v>48.624000000000002</v>
      </c>
      <c r="H99" s="169">
        <v>85.49</v>
      </c>
    </row>
    <row r="100" spans="1:8" x14ac:dyDescent="0.2">
      <c r="A100" t="s">
        <v>86</v>
      </c>
      <c r="B100" s="1">
        <v>15631086</v>
      </c>
      <c r="C100" s="84" t="str" cm="1">
        <f t="array" ref="C100">long_to_rgb(B100)</f>
        <v>238, 130, 238</v>
      </c>
      <c r="D100" s="84" t="str" cm="1">
        <f t="array" ref="D100">rgb_to_hex(C100)</f>
        <v>#EE82EE</v>
      </c>
      <c r="F100" s="169" cm="1">
        <f t="array" ref="F100:H100">rgb_to_hsb(C100)</f>
        <v>300</v>
      </c>
      <c r="G100" s="169">
        <v>45.378</v>
      </c>
      <c r="H100" s="169">
        <v>93.332999999999998</v>
      </c>
    </row>
    <row r="101" spans="1:8" x14ac:dyDescent="0.2">
      <c r="A101" t="s">
        <v>87</v>
      </c>
      <c r="B101" s="1">
        <v>14524637</v>
      </c>
      <c r="C101" s="85" t="str" cm="1">
        <f t="array" ref="C101">long_to_rgb(B101)</f>
        <v>221, 160, 221</v>
      </c>
      <c r="D101" s="85" t="str" cm="1">
        <f t="array" ref="D101">rgb_to_hex(C101)</f>
        <v>#DDA0DD</v>
      </c>
      <c r="F101" s="169" cm="1">
        <f t="array" ref="F101:H101">rgb_to_hsb(C101)</f>
        <v>300</v>
      </c>
      <c r="G101" s="169">
        <v>27.602</v>
      </c>
      <c r="H101" s="169">
        <v>86.667000000000002</v>
      </c>
    </row>
    <row r="102" spans="1:8" x14ac:dyDescent="0.2">
      <c r="A102" t="s">
        <v>88</v>
      </c>
      <c r="B102" s="1">
        <v>14204888</v>
      </c>
      <c r="C102" s="86" t="str" cm="1">
        <f t="array" ref="C102">long_to_rgb(B102)</f>
        <v>216, 191, 216</v>
      </c>
      <c r="D102" s="86" t="str" cm="1">
        <f t="array" ref="D102">rgb_to_hex(C102)</f>
        <v>#D8BFD8</v>
      </c>
      <c r="F102" s="169" cm="1">
        <f t="array" ref="F102:H102">rgb_to_hsb(C102)</f>
        <v>300</v>
      </c>
      <c r="G102" s="169">
        <v>11.574</v>
      </c>
      <c r="H102" s="169">
        <v>84.706000000000003</v>
      </c>
    </row>
    <row r="103" spans="1:8" x14ac:dyDescent="0.2">
      <c r="A103" t="s">
        <v>89</v>
      </c>
      <c r="B103" s="1">
        <v>16443110</v>
      </c>
      <c r="C103" s="87" t="str" cm="1">
        <f t="array" ref="C103">long_to_rgb(B103)</f>
        <v>230, 230, 250</v>
      </c>
      <c r="D103" s="87" t="str" cm="1">
        <f t="array" ref="D103">rgb_to_hex(C103)</f>
        <v>#E6E6FA</v>
      </c>
      <c r="F103" s="169" cm="1">
        <f t="array" ref="F103:H103">rgb_to_hsb(C103)</f>
        <v>240</v>
      </c>
      <c r="G103" s="169">
        <v>8</v>
      </c>
      <c r="H103" s="169">
        <v>98.039000000000001</v>
      </c>
    </row>
    <row r="104" spans="1:8" x14ac:dyDescent="0.2">
      <c r="B104" s="1"/>
      <c r="F104" s="169"/>
      <c r="G104" s="169"/>
      <c r="H104" s="169"/>
    </row>
    <row r="105" spans="1:8" x14ac:dyDescent="0.2">
      <c r="B105" s="1"/>
      <c r="F105" s="169"/>
      <c r="G105" s="169"/>
      <c r="H105" s="169"/>
    </row>
    <row r="106" spans="1:8" x14ac:dyDescent="0.2">
      <c r="A106" t="s">
        <v>90</v>
      </c>
      <c r="B106" s="1">
        <v>7346457</v>
      </c>
      <c r="C106" s="88" t="str" cm="1">
        <f t="array" ref="C106">long_to_rgb(B106)</f>
        <v>25, 25, 112</v>
      </c>
      <c r="D106" s="88" t="str" cm="1">
        <f t="array" ref="D106">rgb_to_hex(C106)</f>
        <v>#191970</v>
      </c>
      <c r="F106" s="169" cm="1">
        <f t="array" ref="F106:H106">rgb_to_hsb(C106)</f>
        <v>240</v>
      </c>
      <c r="G106" s="169">
        <v>77.679000000000002</v>
      </c>
      <c r="H106" s="169">
        <v>43.921999999999997</v>
      </c>
    </row>
    <row r="107" spans="1:8" x14ac:dyDescent="0.2">
      <c r="A107" t="s">
        <v>91</v>
      </c>
      <c r="B107" s="1">
        <v>8388608</v>
      </c>
      <c r="C107" s="89" t="str" cm="1">
        <f t="array" ref="C107">long_to_rgb(B107)</f>
        <v>0, 0, 128</v>
      </c>
      <c r="D107" s="89" t="str" cm="1">
        <f t="array" ref="D107">rgb_to_hex(C107)</f>
        <v>#000080</v>
      </c>
      <c r="F107" s="169" cm="1">
        <f t="array" ref="F107:H107">rgb_to_hsb(C107)</f>
        <v>240</v>
      </c>
      <c r="G107" s="169">
        <v>100</v>
      </c>
      <c r="H107" s="169">
        <v>50.195999999999998</v>
      </c>
    </row>
    <row r="108" spans="1:8" x14ac:dyDescent="0.2">
      <c r="A108" t="s">
        <v>92</v>
      </c>
      <c r="B108" s="1">
        <v>9109504</v>
      </c>
      <c r="C108" s="90" t="str" cm="1">
        <f t="array" ref="C108">long_to_rgb(B108)</f>
        <v>0, 0, 139</v>
      </c>
      <c r="D108" s="90" t="str" cm="1">
        <f t="array" ref="D108">rgb_to_hex(C108)</f>
        <v>#00008B</v>
      </c>
      <c r="F108" s="169" cm="1">
        <f t="array" ref="F108:H108">rgb_to_hsb(C108)</f>
        <v>240</v>
      </c>
      <c r="G108" s="169">
        <v>100</v>
      </c>
      <c r="H108" s="169">
        <v>54.51</v>
      </c>
    </row>
    <row r="109" spans="1:8" x14ac:dyDescent="0.2">
      <c r="A109" t="s">
        <v>93</v>
      </c>
      <c r="B109" s="1">
        <v>13434880</v>
      </c>
      <c r="C109" s="91" t="str" cm="1">
        <f t="array" ref="C109">long_to_rgb(B109)</f>
        <v>0, 0, 205</v>
      </c>
      <c r="D109" s="91" t="str" cm="1">
        <f t="array" ref="D109">rgb_to_hex(C109)</f>
        <v>#0000CD</v>
      </c>
      <c r="F109" s="169" cm="1">
        <f t="array" ref="F109:H109">rgb_to_hsb(C109)</f>
        <v>240</v>
      </c>
      <c r="G109" s="169">
        <v>100</v>
      </c>
      <c r="H109" s="169">
        <v>80.391999999999996</v>
      </c>
    </row>
    <row r="110" spans="1:8" x14ac:dyDescent="0.2">
      <c r="A110" t="s">
        <v>94</v>
      </c>
      <c r="B110" s="1">
        <v>16711680</v>
      </c>
      <c r="C110" s="92" t="str" cm="1">
        <f t="array" ref="C110">long_to_rgb(B110)</f>
        <v>0, 0, 255</v>
      </c>
      <c r="D110" s="92" t="str" cm="1">
        <f t="array" ref="D110">rgb_to_hex(C110)</f>
        <v>#0000FF</v>
      </c>
      <c r="F110" s="169" cm="1">
        <f t="array" ref="F110:H110">rgb_to_hsb(C110)</f>
        <v>240</v>
      </c>
      <c r="G110" s="169">
        <v>100</v>
      </c>
      <c r="H110" s="169">
        <v>100</v>
      </c>
    </row>
    <row r="111" spans="1:8" x14ac:dyDescent="0.2">
      <c r="A111" t="s">
        <v>95</v>
      </c>
      <c r="B111" s="1">
        <v>14772545</v>
      </c>
      <c r="C111" s="93" t="str" cm="1">
        <f t="array" ref="C111">long_to_rgb(B111)</f>
        <v>65, 105, 225</v>
      </c>
      <c r="D111" s="93" t="str" cm="1">
        <f t="array" ref="D111">rgb_to_hex(C111)</f>
        <v>#4169E1</v>
      </c>
      <c r="F111" s="169" cm="1">
        <f t="array" ref="F111:H111">rgb_to_hsb(C111)</f>
        <v>225</v>
      </c>
      <c r="G111" s="169">
        <v>71.111000000000004</v>
      </c>
      <c r="H111" s="169">
        <v>88.234999999999999</v>
      </c>
    </row>
    <row r="112" spans="1:8" x14ac:dyDescent="0.2">
      <c r="A112" t="s">
        <v>96</v>
      </c>
      <c r="B112" s="1">
        <v>11829830</v>
      </c>
      <c r="C112" s="94" t="str" cm="1">
        <f t="array" ref="C112">long_to_rgb(B112)</f>
        <v>70, 130, 180</v>
      </c>
      <c r="D112" s="94" t="str" cm="1">
        <f t="array" ref="D112">rgb_to_hex(C112)</f>
        <v>#4682B4</v>
      </c>
      <c r="F112" s="169" cm="1">
        <f t="array" ref="F112:H112">rgb_to_hsb(C112)</f>
        <v>207.273</v>
      </c>
      <c r="G112" s="169">
        <v>61.110999999999997</v>
      </c>
      <c r="H112" s="169">
        <v>70.587999999999994</v>
      </c>
    </row>
    <row r="113" spans="1:8" x14ac:dyDescent="0.2">
      <c r="A113" t="s">
        <v>97</v>
      </c>
      <c r="B113" s="1">
        <v>16748574</v>
      </c>
      <c r="C113" s="95" t="str" cm="1">
        <f t="array" ref="C113">long_to_rgb(B113)</f>
        <v>30, 144, 255</v>
      </c>
      <c r="D113" s="95" t="str" cm="1">
        <f t="array" ref="D113">rgb_to_hex(C113)</f>
        <v>#1E90FF</v>
      </c>
      <c r="F113" s="169" cm="1">
        <f t="array" ref="F113:H113">rgb_to_hsb(C113)</f>
        <v>209.6</v>
      </c>
      <c r="G113" s="169">
        <v>88.234999999999999</v>
      </c>
      <c r="H113" s="169">
        <v>100</v>
      </c>
    </row>
    <row r="114" spans="1:8" x14ac:dyDescent="0.2">
      <c r="A114" t="s">
        <v>98</v>
      </c>
      <c r="B114" s="1">
        <v>16760576</v>
      </c>
      <c r="C114" s="96" t="str" cm="1">
        <f t="array" ref="C114">long_to_rgb(B114)</f>
        <v>0, 191, 255</v>
      </c>
      <c r="D114" s="96" t="str" cm="1">
        <f t="array" ref="D114">rgb_to_hex(C114)</f>
        <v>#00BFFF</v>
      </c>
      <c r="F114" s="169" cm="1">
        <f t="array" ref="F114:H114">rgb_to_hsb(C114)</f>
        <v>195.059</v>
      </c>
      <c r="G114" s="169">
        <v>100</v>
      </c>
      <c r="H114" s="169">
        <v>100</v>
      </c>
    </row>
    <row r="115" spans="1:8" x14ac:dyDescent="0.2">
      <c r="A115" t="s">
        <v>99</v>
      </c>
      <c r="B115" s="1">
        <v>15570276</v>
      </c>
      <c r="C115" s="97" t="str" cm="1">
        <f t="array" ref="C115">long_to_rgb(B115)</f>
        <v>100, 149, 237</v>
      </c>
      <c r="D115" s="97" t="str" cm="1">
        <f t="array" ref="D115">rgb_to_hex(C115)</f>
        <v>#6495ED</v>
      </c>
      <c r="F115" s="169" cm="1">
        <f t="array" ref="F115:H115">rgb_to_hsb(C115)</f>
        <v>218.54</v>
      </c>
      <c r="G115" s="169">
        <v>57.805999999999997</v>
      </c>
      <c r="H115" s="169">
        <v>92.941000000000003</v>
      </c>
    </row>
    <row r="116" spans="1:8" x14ac:dyDescent="0.2">
      <c r="A116" t="s">
        <v>100</v>
      </c>
      <c r="B116" s="1">
        <v>15453831</v>
      </c>
      <c r="C116" s="98" t="str" cm="1">
        <f t="array" ref="C116">long_to_rgb(B116)</f>
        <v>135, 206, 235</v>
      </c>
      <c r="D116" s="98" t="str" cm="1">
        <f t="array" ref="D116">rgb_to_hex(C116)</f>
        <v>#87CEEB</v>
      </c>
      <c r="F116" s="169" cm="1">
        <f t="array" ref="F116:H116">rgb_to_hsb(C116)</f>
        <v>197.4</v>
      </c>
      <c r="G116" s="169">
        <v>42.552999999999997</v>
      </c>
      <c r="H116" s="169">
        <v>92.156999999999996</v>
      </c>
    </row>
    <row r="117" spans="1:8" x14ac:dyDescent="0.2">
      <c r="A117" t="s">
        <v>101</v>
      </c>
      <c r="B117" s="1">
        <v>16436871</v>
      </c>
      <c r="C117" s="99" t="str" cm="1">
        <f t="array" ref="C117">long_to_rgb(B117)</f>
        <v>135, 206, 250</v>
      </c>
      <c r="D117" s="99" t="str" cm="1">
        <f t="array" ref="D117">rgb_to_hex(C117)</f>
        <v>#87CEFA</v>
      </c>
      <c r="F117" s="169" cm="1">
        <f t="array" ref="F117:H117">rgb_to_hsb(C117)</f>
        <v>202.95699999999999</v>
      </c>
      <c r="G117" s="169">
        <v>46</v>
      </c>
      <c r="H117" s="169">
        <v>98.039000000000001</v>
      </c>
    </row>
    <row r="118" spans="1:8" x14ac:dyDescent="0.2">
      <c r="A118" t="s">
        <v>102</v>
      </c>
      <c r="B118" s="1">
        <v>14599344</v>
      </c>
      <c r="C118" s="100" t="str" cm="1">
        <f t="array" ref="C118">long_to_rgb(B118)</f>
        <v>176, 196, 222</v>
      </c>
      <c r="D118" s="100" t="str" cm="1">
        <f t="array" ref="D118">rgb_to_hex(C118)</f>
        <v>#B0C4DE</v>
      </c>
      <c r="F118" s="169" cm="1">
        <f t="array" ref="F118:H118">rgb_to_hsb(C118)</f>
        <v>213.91300000000001</v>
      </c>
      <c r="G118" s="169">
        <v>20.721</v>
      </c>
      <c r="H118" s="169">
        <v>87.058999999999997</v>
      </c>
    </row>
    <row r="119" spans="1:8" x14ac:dyDescent="0.2">
      <c r="A119" t="s">
        <v>103</v>
      </c>
      <c r="B119" s="1">
        <v>15128749</v>
      </c>
      <c r="C119" s="101" t="str" cm="1">
        <f t="array" ref="C119">long_to_rgb(B119)</f>
        <v>173, 216, 230</v>
      </c>
      <c r="D119" s="101" t="str" cm="1">
        <f t="array" ref="D119">rgb_to_hex(C119)</f>
        <v>#ADD8E6</v>
      </c>
      <c r="F119" s="169" cm="1">
        <f t="array" ref="F119:H119">rgb_to_hsb(C119)</f>
        <v>194.73699999999999</v>
      </c>
      <c r="G119" s="169">
        <v>24.783000000000001</v>
      </c>
      <c r="H119" s="169">
        <v>90.195999999999998</v>
      </c>
    </row>
    <row r="120" spans="1:8" x14ac:dyDescent="0.2">
      <c r="A120" t="s">
        <v>104</v>
      </c>
      <c r="B120" s="1">
        <v>15130800</v>
      </c>
      <c r="C120" s="102" t="str" cm="1">
        <f t="array" ref="C120">long_to_rgb(B120)</f>
        <v>176, 224, 230</v>
      </c>
      <c r="D120" s="102" t="str" cm="1">
        <f t="array" ref="D120">rgb_to_hex(C120)</f>
        <v>#B0E0E6</v>
      </c>
      <c r="F120" s="169" cm="1">
        <f t="array" ref="F120:H120">rgb_to_hsb(C120)</f>
        <v>186.667</v>
      </c>
      <c r="G120" s="169">
        <v>23.478000000000002</v>
      </c>
      <c r="H120" s="169">
        <v>90.195999999999998</v>
      </c>
    </row>
    <row r="121" spans="1:8" x14ac:dyDescent="0.2">
      <c r="B121" s="1"/>
      <c r="F121" s="169"/>
      <c r="G121" s="169"/>
      <c r="H121" s="169"/>
    </row>
    <row r="122" spans="1:8" x14ac:dyDescent="0.2">
      <c r="B122" s="1"/>
      <c r="F122" s="169"/>
      <c r="G122" s="169"/>
      <c r="H122" s="169"/>
    </row>
    <row r="123" spans="1:8" x14ac:dyDescent="0.2">
      <c r="A123" t="s">
        <v>105</v>
      </c>
      <c r="B123" s="1">
        <v>8421376</v>
      </c>
      <c r="C123" s="103" t="str" cm="1">
        <f t="array" ref="C123">long_to_rgb(B123)</f>
        <v>0, 128, 128</v>
      </c>
      <c r="D123" s="103" t="str" cm="1">
        <f t="array" ref="D123">rgb_to_hex(C123)</f>
        <v>#008080</v>
      </c>
      <c r="F123" s="169" cm="1">
        <f t="array" ref="F123:H123">rgb_to_hsb(C123)</f>
        <v>180</v>
      </c>
      <c r="G123" s="169">
        <v>100</v>
      </c>
      <c r="H123" s="169">
        <v>50.195999999999998</v>
      </c>
    </row>
    <row r="124" spans="1:8" x14ac:dyDescent="0.2">
      <c r="A124" t="s">
        <v>106</v>
      </c>
      <c r="B124" s="1">
        <v>9145088</v>
      </c>
      <c r="C124" s="104" t="str" cm="1">
        <f t="array" ref="C124">long_to_rgb(B124)</f>
        <v>0, 139, 139</v>
      </c>
      <c r="D124" s="104" t="str" cm="1">
        <f t="array" ref="D124">rgb_to_hex(C124)</f>
        <v>#008B8B</v>
      </c>
      <c r="F124" s="169" cm="1">
        <f t="array" ref="F124:H124">rgb_to_hsb(C124)</f>
        <v>180</v>
      </c>
      <c r="G124" s="169">
        <v>100</v>
      </c>
      <c r="H124" s="169">
        <v>54.51</v>
      </c>
    </row>
    <row r="125" spans="1:8" x14ac:dyDescent="0.2">
      <c r="A125" t="s">
        <v>107</v>
      </c>
      <c r="B125" s="1">
        <v>11186720</v>
      </c>
      <c r="C125" s="105" t="str" cm="1">
        <f t="array" ref="C125">long_to_rgb(B125)</f>
        <v>32, 178, 170</v>
      </c>
      <c r="D125" s="105" t="str" cm="1">
        <f t="array" ref="D125">rgb_to_hex(C125)</f>
        <v>#20B2AA</v>
      </c>
      <c r="F125" s="169" cm="1">
        <f t="array" ref="F125:H125">rgb_to_hsb(C125)</f>
        <v>176.71199999999999</v>
      </c>
      <c r="G125" s="169">
        <v>82.022000000000006</v>
      </c>
      <c r="H125" s="169">
        <v>69.804000000000002</v>
      </c>
    </row>
    <row r="126" spans="1:8" x14ac:dyDescent="0.2">
      <c r="A126" t="s">
        <v>108</v>
      </c>
      <c r="B126" s="1">
        <v>10526303</v>
      </c>
      <c r="C126" s="106" t="str" cm="1">
        <f t="array" ref="C126">long_to_rgb(B126)</f>
        <v>95, 158, 160</v>
      </c>
      <c r="D126" s="106" t="str" cm="1">
        <f t="array" ref="D126">rgb_to_hex(C126)</f>
        <v>#5F9EA0</v>
      </c>
      <c r="F126" s="169" cm="1">
        <f t="array" ref="F126:H126">rgb_to_hsb(C126)</f>
        <v>181.846</v>
      </c>
      <c r="G126" s="169">
        <v>40.625</v>
      </c>
      <c r="H126" s="169">
        <v>62.744999999999997</v>
      </c>
    </row>
    <row r="127" spans="1:8" x14ac:dyDescent="0.2">
      <c r="A127" t="s">
        <v>109</v>
      </c>
      <c r="B127" s="1">
        <v>13749760</v>
      </c>
      <c r="C127" s="107" t="str" cm="1">
        <f t="array" ref="C127">long_to_rgb(B127)</f>
        <v>0, 206, 209</v>
      </c>
      <c r="D127" s="107" t="str" cm="1">
        <f t="array" ref="D127">rgb_to_hex(C127)</f>
        <v>#00CED1</v>
      </c>
      <c r="F127" s="169" cm="1">
        <f t="array" ref="F127:H127">rgb_to_hsb(C127)</f>
        <v>180.86099999999999</v>
      </c>
      <c r="G127" s="169">
        <v>100</v>
      </c>
      <c r="H127" s="169">
        <v>81.960999999999999</v>
      </c>
    </row>
    <row r="128" spans="1:8" x14ac:dyDescent="0.2">
      <c r="A128" t="s">
        <v>110</v>
      </c>
      <c r="B128" s="1">
        <v>13422920</v>
      </c>
      <c r="C128" s="108" t="str" cm="1">
        <f t="array" ref="C128">long_to_rgb(B128)</f>
        <v>72, 209, 204</v>
      </c>
      <c r="D128" s="108" t="str" cm="1">
        <f t="array" ref="D128">rgb_to_hex(C128)</f>
        <v>#48D1CC</v>
      </c>
      <c r="F128" s="169" cm="1">
        <f t="array" ref="F128:H128">rgb_to_hsb(C128)</f>
        <v>177.81</v>
      </c>
      <c r="G128" s="169">
        <v>65.55</v>
      </c>
      <c r="H128" s="169">
        <v>81.960999999999999</v>
      </c>
    </row>
    <row r="129" spans="1:8" x14ac:dyDescent="0.2">
      <c r="A129" t="s">
        <v>111</v>
      </c>
      <c r="B129" s="1">
        <v>13688896</v>
      </c>
      <c r="C129" s="109" t="str" cm="1">
        <f t="array" ref="C129">long_to_rgb(B129)</f>
        <v>64, 224, 208</v>
      </c>
      <c r="D129" s="109" t="str" cm="1">
        <f t="array" ref="D129">rgb_to_hex(C129)</f>
        <v>#40E0D0</v>
      </c>
      <c r="F129" s="169" cm="1">
        <f t="array" ref="F129:H129">rgb_to_hsb(C129)</f>
        <v>174</v>
      </c>
      <c r="G129" s="169">
        <v>71.429000000000002</v>
      </c>
      <c r="H129" s="169">
        <v>87.843000000000004</v>
      </c>
    </row>
    <row r="130" spans="1:8" x14ac:dyDescent="0.2">
      <c r="A130" t="s">
        <v>112</v>
      </c>
      <c r="B130" s="1">
        <v>16776960</v>
      </c>
      <c r="C130" s="110" t="str" cm="1">
        <f t="array" ref="C130">long_to_rgb(B130)</f>
        <v>0, 255, 255</v>
      </c>
      <c r="D130" s="110" t="str" cm="1">
        <f t="array" ref="D130">rgb_to_hex(C130)</f>
        <v>#00FFFF</v>
      </c>
      <c r="F130" s="169" cm="1">
        <f t="array" ref="F130:H130">rgb_to_hsb(C130)</f>
        <v>180</v>
      </c>
      <c r="G130" s="169">
        <v>100</v>
      </c>
      <c r="H130" s="169">
        <v>100</v>
      </c>
    </row>
    <row r="131" spans="1:8" x14ac:dyDescent="0.2">
      <c r="A131" t="s">
        <v>113</v>
      </c>
      <c r="B131" s="1">
        <v>16776960</v>
      </c>
      <c r="C131" s="110" t="str" cm="1">
        <f t="array" ref="C131">long_to_rgb(B131)</f>
        <v>0, 255, 255</v>
      </c>
      <c r="D131" s="110" t="str" cm="1">
        <f t="array" ref="D131">rgb_to_hex(C131)</f>
        <v>#00FFFF</v>
      </c>
      <c r="F131" s="169" cm="1">
        <f t="array" ref="F131:H131">rgb_to_hsb(C131)</f>
        <v>180</v>
      </c>
      <c r="G131" s="169">
        <v>100</v>
      </c>
      <c r="H131" s="169">
        <v>100</v>
      </c>
    </row>
    <row r="132" spans="1:8" x14ac:dyDescent="0.2">
      <c r="A132" t="s">
        <v>114</v>
      </c>
      <c r="B132" s="1">
        <v>13959039</v>
      </c>
      <c r="C132" s="111" t="str" cm="1">
        <f t="array" ref="C132">long_to_rgb(B132)</f>
        <v>127, 255, 212</v>
      </c>
      <c r="D132" s="111" t="str" cm="1">
        <f t="array" ref="D132">rgb_to_hex(C132)</f>
        <v>#7FFFD4</v>
      </c>
      <c r="F132" s="169" cm="1">
        <f t="array" ref="F132:H132">rgb_to_hsb(C132)</f>
        <v>159.84399999999999</v>
      </c>
      <c r="G132" s="169">
        <v>50.195999999999998</v>
      </c>
      <c r="H132" s="169">
        <v>100</v>
      </c>
    </row>
    <row r="133" spans="1:8" x14ac:dyDescent="0.2">
      <c r="A133" t="s">
        <v>115</v>
      </c>
      <c r="B133" s="1">
        <v>15658671</v>
      </c>
      <c r="C133" s="112" t="str" cm="1">
        <f t="array" ref="C133">long_to_rgb(B133)</f>
        <v>175, 238, 238</v>
      </c>
      <c r="D133" s="112" t="str" cm="1">
        <f t="array" ref="D133">rgb_to_hex(C133)</f>
        <v>#AFEEEE</v>
      </c>
      <c r="F133" s="169" cm="1">
        <f t="array" ref="F133:H133">rgb_to_hsb(C133)</f>
        <v>180</v>
      </c>
      <c r="G133" s="169">
        <v>26.471</v>
      </c>
      <c r="H133" s="169">
        <v>93.332999999999998</v>
      </c>
    </row>
    <row r="134" spans="1:8" x14ac:dyDescent="0.2">
      <c r="A134" t="s">
        <v>116</v>
      </c>
      <c r="B134" s="1">
        <v>16777184</v>
      </c>
      <c r="C134" s="113" t="str" cm="1">
        <f t="array" ref="C134">long_to_rgb(B134)</f>
        <v>224, 255, 255</v>
      </c>
      <c r="D134" s="113" t="str" cm="1">
        <f t="array" ref="D134">rgb_to_hex(C134)</f>
        <v>#E0FFFF</v>
      </c>
      <c r="F134" s="169" cm="1">
        <f t="array" ref="F134:H134">rgb_to_hsb(C134)</f>
        <v>180</v>
      </c>
      <c r="G134" s="169">
        <v>12.157</v>
      </c>
      <c r="H134" s="169">
        <v>100</v>
      </c>
    </row>
    <row r="135" spans="1:8" x14ac:dyDescent="0.2">
      <c r="B135" s="1"/>
      <c r="F135" s="169"/>
      <c r="G135" s="169"/>
      <c r="H135" s="169"/>
    </row>
    <row r="136" spans="1:8" x14ac:dyDescent="0.2">
      <c r="B136" s="1"/>
      <c r="F136" s="169"/>
      <c r="G136" s="169"/>
      <c r="H136" s="169"/>
    </row>
    <row r="137" spans="1:8" x14ac:dyDescent="0.2">
      <c r="B137" s="1"/>
      <c r="F137" s="169"/>
      <c r="G137" s="169"/>
      <c r="H137" s="169"/>
    </row>
    <row r="138" spans="1:8" x14ac:dyDescent="0.2">
      <c r="B138" s="1"/>
      <c r="F138" s="169"/>
      <c r="G138" s="169"/>
      <c r="H138" s="169"/>
    </row>
    <row r="139" spans="1:8" x14ac:dyDescent="0.2">
      <c r="A139" t="s">
        <v>117</v>
      </c>
      <c r="B139" s="1">
        <v>25600</v>
      </c>
      <c r="C139" s="114" t="str" cm="1">
        <f t="array" ref="C139">long_to_rgb(B139)</f>
        <v>0, 100, 0</v>
      </c>
      <c r="D139" s="114" t="str" cm="1">
        <f t="array" ref="D139">rgb_to_hex(C139)</f>
        <v>#006400</v>
      </c>
      <c r="F139" s="169" cm="1">
        <f t="array" ref="F139:H139">rgb_to_hsb(C139)</f>
        <v>120</v>
      </c>
      <c r="G139" s="169">
        <v>100</v>
      </c>
      <c r="H139" s="169">
        <v>39.216000000000001</v>
      </c>
    </row>
    <row r="140" spans="1:8" x14ac:dyDescent="0.2">
      <c r="A140" t="s">
        <v>118</v>
      </c>
      <c r="B140" s="1">
        <v>32768</v>
      </c>
      <c r="C140" s="115" t="str" cm="1">
        <f t="array" ref="C140">long_to_rgb(B140)</f>
        <v>0, 128, 0</v>
      </c>
      <c r="D140" s="115" t="str" cm="1">
        <f t="array" ref="D140">rgb_to_hex(C140)</f>
        <v>#008000</v>
      </c>
      <c r="F140" s="169" cm="1">
        <f t="array" ref="F140:H140">rgb_to_hsb(C140)</f>
        <v>120</v>
      </c>
      <c r="G140" s="169">
        <v>100</v>
      </c>
      <c r="H140" s="169">
        <v>50.195999999999998</v>
      </c>
    </row>
    <row r="141" spans="1:8" x14ac:dyDescent="0.2">
      <c r="A141" t="s">
        <v>119</v>
      </c>
      <c r="B141" s="1">
        <v>3107669</v>
      </c>
      <c r="C141" s="116" t="str" cm="1">
        <f t="array" ref="C141">long_to_rgb(B141)</f>
        <v>85, 107, 47</v>
      </c>
      <c r="D141" s="116" t="str" cm="1">
        <f t="array" ref="D141">rgb_to_hex(C141)</f>
        <v>#556B2F</v>
      </c>
      <c r="F141" s="169" cm="1">
        <f t="array" ref="F141:H141">rgb_to_hsb(C141)</f>
        <v>82</v>
      </c>
      <c r="G141" s="169">
        <v>56.075000000000003</v>
      </c>
      <c r="H141" s="169">
        <v>41.960999999999999</v>
      </c>
    </row>
    <row r="142" spans="1:8" x14ac:dyDescent="0.2">
      <c r="A142" t="s">
        <v>120</v>
      </c>
      <c r="B142" s="1">
        <v>2263842</v>
      </c>
      <c r="C142" s="117" t="str" cm="1">
        <f t="array" ref="C142">long_to_rgb(B142)</f>
        <v>34, 139, 34</v>
      </c>
      <c r="D142" s="117" t="str" cm="1">
        <f t="array" ref="D142">rgb_to_hex(C142)</f>
        <v>#228B22</v>
      </c>
      <c r="F142" s="169" cm="1">
        <f t="array" ref="F142:H142">rgb_to_hsb(C142)</f>
        <v>120</v>
      </c>
      <c r="G142" s="169">
        <v>75.540000000000006</v>
      </c>
      <c r="H142" s="169">
        <v>54.51</v>
      </c>
    </row>
    <row r="143" spans="1:8" x14ac:dyDescent="0.2">
      <c r="A143" t="s">
        <v>121</v>
      </c>
      <c r="B143" s="1">
        <v>5737262</v>
      </c>
      <c r="C143" s="118" t="str" cm="1">
        <f t="array" ref="C143">long_to_rgb(B143)</f>
        <v>46, 139, 87</v>
      </c>
      <c r="D143" s="118" t="str" cm="1">
        <f t="array" ref="D143">rgb_to_hex(C143)</f>
        <v>#2E8B57</v>
      </c>
      <c r="F143" s="169" cm="1">
        <f t="array" ref="F143:H143">rgb_to_hsb(C143)</f>
        <v>146.452</v>
      </c>
      <c r="G143" s="169">
        <v>66.906000000000006</v>
      </c>
      <c r="H143" s="169">
        <v>54.51</v>
      </c>
    </row>
    <row r="144" spans="1:8" x14ac:dyDescent="0.2">
      <c r="A144" t="s">
        <v>122</v>
      </c>
      <c r="B144" s="1">
        <v>32896</v>
      </c>
      <c r="C144" s="119" t="str" cm="1">
        <f t="array" ref="C144">long_to_rgb(B144)</f>
        <v>128, 128, 0</v>
      </c>
      <c r="D144" s="119" t="str" cm="1">
        <f t="array" ref="D144">rgb_to_hex(C144)</f>
        <v>#808000</v>
      </c>
      <c r="F144" s="169" cm="1">
        <f t="array" ref="F144:H144">rgb_to_hsb(C144)</f>
        <v>60</v>
      </c>
      <c r="G144" s="169">
        <v>100</v>
      </c>
      <c r="H144" s="169">
        <v>50.195999999999998</v>
      </c>
    </row>
    <row r="145" spans="1:8" x14ac:dyDescent="0.2">
      <c r="A145" t="s">
        <v>123</v>
      </c>
      <c r="B145" s="1">
        <v>2330219</v>
      </c>
      <c r="C145" s="120" t="str" cm="1">
        <f t="array" ref="C145">long_to_rgb(B145)</f>
        <v>107, 142, 35</v>
      </c>
      <c r="D145" s="120" t="str" cm="1">
        <f t="array" ref="D145">rgb_to_hex(C145)</f>
        <v>#6B8E23</v>
      </c>
      <c r="F145" s="169" cm="1">
        <f t="array" ref="F145:H145">rgb_to_hsb(C145)</f>
        <v>79.626000000000005</v>
      </c>
      <c r="G145" s="169">
        <v>75.352000000000004</v>
      </c>
      <c r="H145" s="169">
        <v>55.686</v>
      </c>
    </row>
    <row r="146" spans="1:8" x14ac:dyDescent="0.2">
      <c r="A146" t="s">
        <v>124</v>
      </c>
      <c r="B146" s="1">
        <v>7451452</v>
      </c>
      <c r="C146" s="121" t="str" cm="1">
        <f t="array" ref="C146">long_to_rgb(B146)</f>
        <v>60, 179, 113</v>
      </c>
      <c r="D146" s="121" t="str" cm="1">
        <f t="array" ref="D146">rgb_to_hex(C146)</f>
        <v>#3CB371</v>
      </c>
      <c r="F146" s="169" cm="1">
        <f t="array" ref="F146:H146">rgb_to_hsb(C146)</f>
        <v>146.72300000000001</v>
      </c>
      <c r="G146" s="169">
        <v>66.48</v>
      </c>
      <c r="H146" s="169">
        <v>70.195999999999998</v>
      </c>
    </row>
    <row r="147" spans="1:8" x14ac:dyDescent="0.2">
      <c r="A147" t="s">
        <v>125</v>
      </c>
      <c r="B147" s="1">
        <v>3329330</v>
      </c>
      <c r="C147" s="122" t="str" cm="1">
        <f t="array" ref="C147">long_to_rgb(B147)</f>
        <v>50, 205, 50</v>
      </c>
      <c r="D147" s="122" t="str" cm="1">
        <f t="array" ref="D147">rgb_to_hex(C147)</f>
        <v>#32CD32</v>
      </c>
      <c r="F147" s="169" cm="1">
        <f t="array" ref="F147:H147">rgb_to_hsb(C147)</f>
        <v>120</v>
      </c>
      <c r="G147" s="169">
        <v>75.61</v>
      </c>
      <c r="H147" s="169">
        <v>80.391999999999996</v>
      </c>
    </row>
    <row r="148" spans="1:8" x14ac:dyDescent="0.2">
      <c r="A148" t="s">
        <v>126</v>
      </c>
      <c r="B148" s="1">
        <v>65280</v>
      </c>
      <c r="C148" s="123" t="str" cm="1">
        <f t="array" ref="C148">long_to_rgb(B148)</f>
        <v>0, 255, 0</v>
      </c>
      <c r="D148" s="123" t="str" cm="1">
        <f t="array" ref="D148">rgb_to_hex(C148)</f>
        <v>#00FF00</v>
      </c>
      <c r="F148" s="169" cm="1">
        <f t="array" ref="F148:H148">rgb_to_hsb(C148)</f>
        <v>120</v>
      </c>
      <c r="G148" s="169">
        <v>100</v>
      </c>
      <c r="H148" s="169">
        <v>100</v>
      </c>
    </row>
    <row r="149" spans="1:8" x14ac:dyDescent="0.2">
      <c r="A149" t="s">
        <v>127</v>
      </c>
      <c r="B149" s="1">
        <v>8388352</v>
      </c>
      <c r="C149" s="124" t="str" cm="1">
        <f t="array" ref="C149">long_to_rgb(B149)</f>
        <v>0, 255, 127</v>
      </c>
      <c r="D149" s="124" t="str" cm="1">
        <f t="array" ref="D149">rgb_to_hex(C149)</f>
        <v>#00FF7F</v>
      </c>
      <c r="F149" s="169" cm="1">
        <f t="array" ref="F149:H149">rgb_to_hsb(C149)</f>
        <v>149.88200000000001</v>
      </c>
      <c r="G149" s="169">
        <v>100</v>
      </c>
      <c r="H149" s="169">
        <v>100</v>
      </c>
    </row>
    <row r="150" spans="1:8" x14ac:dyDescent="0.2">
      <c r="A150" t="s">
        <v>128</v>
      </c>
      <c r="B150" s="1">
        <v>10156544</v>
      </c>
      <c r="C150" s="125" t="str" cm="1">
        <f t="array" ref="C150">long_to_rgb(B150)</f>
        <v>0, 250, 154</v>
      </c>
      <c r="D150" s="125" t="str" cm="1">
        <f t="array" ref="D150">rgb_to_hex(C150)</f>
        <v>#00FA9A</v>
      </c>
      <c r="F150" s="169" cm="1">
        <f t="array" ref="F150:H150">rgb_to_hsb(C150)</f>
        <v>156.96</v>
      </c>
      <c r="G150" s="169">
        <v>100</v>
      </c>
      <c r="H150" s="169">
        <v>98.039000000000001</v>
      </c>
    </row>
    <row r="151" spans="1:8" x14ac:dyDescent="0.2">
      <c r="A151" t="s">
        <v>129</v>
      </c>
      <c r="B151" s="1">
        <v>9419919</v>
      </c>
      <c r="C151" s="126" t="str" cm="1">
        <f t="array" ref="C151">long_to_rgb(B151)</f>
        <v>143, 188, 143</v>
      </c>
      <c r="D151" s="126" t="str" cm="1">
        <f t="array" ref="D151">rgb_to_hex(C151)</f>
        <v>#8FBC8F</v>
      </c>
      <c r="F151" s="169" cm="1">
        <f t="array" ref="F151:H151">rgb_to_hsb(C151)</f>
        <v>120</v>
      </c>
      <c r="G151" s="169">
        <v>23.936</v>
      </c>
      <c r="H151" s="169">
        <v>73.724999999999994</v>
      </c>
    </row>
    <row r="152" spans="1:8" x14ac:dyDescent="0.2">
      <c r="A152" t="s">
        <v>130</v>
      </c>
      <c r="B152" s="1">
        <v>11193702</v>
      </c>
      <c r="C152" s="127" t="str" cm="1">
        <f t="array" ref="C152">long_to_rgb(B152)</f>
        <v>102, 205, 170</v>
      </c>
      <c r="D152" s="127" t="str" cm="1">
        <f t="array" ref="D152">rgb_to_hex(C152)</f>
        <v>#66CDAA</v>
      </c>
      <c r="F152" s="169" cm="1">
        <f t="array" ref="F152:H152">rgb_to_hsb(C152)</f>
        <v>159.61199999999999</v>
      </c>
      <c r="G152" s="169">
        <v>50.244</v>
      </c>
      <c r="H152" s="169">
        <v>80.391999999999996</v>
      </c>
    </row>
    <row r="153" spans="1:8" x14ac:dyDescent="0.2">
      <c r="A153" t="s">
        <v>131</v>
      </c>
      <c r="B153" s="1">
        <v>3329434</v>
      </c>
      <c r="C153" s="128" t="str" cm="1">
        <f t="array" ref="C153">long_to_rgb(B153)</f>
        <v>154, 205, 50</v>
      </c>
      <c r="D153" s="128" t="str" cm="1">
        <f t="array" ref="D153">rgb_to_hex(C153)</f>
        <v>#9ACD32</v>
      </c>
      <c r="F153" s="169" cm="1">
        <f t="array" ref="F153:H153">rgb_to_hsb(C153)</f>
        <v>79.742000000000004</v>
      </c>
      <c r="G153" s="169">
        <v>75.61</v>
      </c>
      <c r="H153" s="169">
        <v>80.391999999999996</v>
      </c>
    </row>
    <row r="154" spans="1:8" x14ac:dyDescent="0.2">
      <c r="A154" t="s">
        <v>132</v>
      </c>
      <c r="B154" s="1">
        <v>64636</v>
      </c>
      <c r="C154" s="129" t="str" cm="1">
        <f t="array" ref="C154">long_to_rgb(B154)</f>
        <v>124, 252, 0</v>
      </c>
      <c r="D154" s="129" t="str" cm="1">
        <f t="array" ref="D154">rgb_to_hex(C154)</f>
        <v>#7CFC00</v>
      </c>
      <c r="F154" s="169" cm="1">
        <f t="array" ref="F154:H154">rgb_to_hsb(C154)</f>
        <v>90.475999999999999</v>
      </c>
      <c r="G154" s="169">
        <v>100</v>
      </c>
      <c r="H154" s="169">
        <v>98.823999999999998</v>
      </c>
    </row>
    <row r="155" spans="1:8" x14ac:dyDescent="0.2">
      <c r="A155" t="s">
        <v>133</v>
      </c>
      <c r="B155" s="1">
        <v>65407</v>
      </c>
      <c r="C155" s="130" t="str" cm="1">
        <f t="array" ref="C155">long_to_rgb(B155)</f>
        <v>127, 255, 0</v>
      </c>
      <c r="D155" s="130" t="str" cm="1">
        <f t="array" ref="D155">rgb_to_hex(C155)</f>
        <v>#7FFF00</v>
      </c>
      <c r="F155" s="169" cm="1">
        <f t="array" ref="F155:H155">rgb_to_hsb(C155)</f>
        <v>90.117999999999995</v>
      </c>
      <c r="G155" s="169">
        <v>100</v>
      </c>
      <c r="H155" s="169">
        <v>100</v>
      </c>
    </row>
    <row r="156" spans="1:8" x14ac:dyDescent="0.2">
      <c r="A156" t="s">
        <v>134</v>
      </c>
      <c r="B156" s="1">
        <v>9498256</v>
      </c>
      <c r="C156" s="131" t="str" cm="1">
        <f t="array" ref="C156">long_to_rgb(B156)</f>
        <v>144, 238, 144</v>
      </c>
      <c r="D156" s="131" t="str" cm="1">
        <f t="array" ref="D156">rgb_to_hex(C156)</f>
        <v>#90EE90</v>
      </c>
      <c r="F156" s="169" cm="1">
        <f t="array" ref="F156:H156">rgb_to_hsb(C156)</f>
        <v>120</v>
      </c>
      <c r="G156" s="169">
        <v>39.496000000000002</v>
      </c>
      <c r="H156" s="169">
        <v>93.332999999999998</v>
      </c>
    </row>
    <row r="157" spans="1:8" x14ac:dyDescent="0.2">
      <c r="A157" t="s">
        <v>135</v>
      </c>
      <c r="B157" s="1">
        <v>3145645</v>
      </c>
      <c r="C157" s="132" t="str" cm="1">
        <f t="array" ref="C157">long_to_rgb(B157)</f>
        <v>173, 255, 47</v>
      </c>
      <c r="D157" s="132" t="str" cm="1">
        <f t="array" ref="D157">rgb_to_hex(C157)</f>
        <v>#ADFF2F</v>
      </c>
      <c r="F157" s="169" cm="1">
        <f t="array" ref="F157:H157">rgb_to_hsb(C157)</f>
        <v>83.653999999999996</v>
      </c>
      <c r="G157" s="169">
        <v>81.569000000000003</v>
      </c>
      <c r="H157" s="169">
        <v>100</v>
      </c>
    </row>
    <row r="158" spans="1:8" x14ac:dyDescent="0.2">
      <c r="A158" t="s">
        <v>136</v>
      </c>
      <c r="B158" s="1">
        <v>10025880</v>
      </c>
      <c r="C158" s="133" t="str" cm="1">
        <f t="array" ref="C158">long_to_rgb(B158)</f>
        <v>152, 251, 152</v>
      </c>
      <c r="D158" s="133" t="str" cm="1">
        <f t="array" ref="D158">rgb_to_hex(C158)</f>
        <v>#98FB98</v>
      </c>
      <c r="F158" s="169" cm="1">
        <f t="array" ref="F158:H158">rgb_to_hsb(C158)</f>
        <v>120</v>
      </c>
      <c r="G158" s="169">
        <v>39.442</v>
      </c>
      <c r="H158" s="169">
        <v>98.430999999999997</v>
      </c>
    </row>
    <row r="159" spans="1:8" x14ac:dyDescent="0.2">
      <c r="B159" s="1"/>
      <c r="F159" s="169"/>
      <c r="G159" s="169"/>
      <c r="H159" s="169"/>
    </row>
    <row r="160" spans="1:8" x14ac:dyDescent="0.2">
      <c r="B160" s="1"/>
      <c r="F160" s="169"/>
      <c r="G160" s="169"/>
      <c r="H160" s="169"/>
    </row>
    <row r="161" spans="1:8" x14ac:dyDescent="0.2">
      <c r="A161" t="s">
        <v>137</v>
      </c>
      <c r="B161" s="1">
        <v>14804223</v>
      </c>
      <c r="C161" s="134" t="str" cm="1">
        <f t="array" ref="C161">long_to_rgb(B161)</f>
        <v>255, 228, 225</v>
      </c>
      <c r="D161" s="134" t="str" cm="1">
        <f t="array" ref="D161">rgb_to_hex(C161)</f>
        <v>#FFE4E1</v>
      </c>
      <c r="F161" s="169" cm="1">
        <f t="array" ref="F161:H161">rgb_to_hsb(C161)</f>
        <v>6</v>
      </c>
      <c r="G161" s="169">
        <v>11.765000000000001</v>
      </c>
      <c r="H161" s="169">
        <v>100</v>
      </c>
    </row>
    <row r="162" spans="1:8" x14ac:dyDescent="0.2">
      <c r="A162" t="s">
        <v>138</v>
      </c>
      <c r="B162" s="1">
        <v>14150650</v>
      </c>
      <c r="C162" s="135" t="str" cm="1">
        <f t="array" ref="C162">long_to_rgb(B162)</f>
        <v>250, 235, 215</v>
      </c>
      <c r="D162" s="135" t="str" cm="1">
        <f t="array" ref="D162">rgb_to_hex(C162)</f>
        <v>#FAEBD7</v>
      </c>
      <c r="F162" s="169" cm="1">
        <f t="array" ref="F162:H162">rgb_to_hsb(C162)</f>
        <v>34.286000000000001</v>
      </c>
      <c r="G162" s="169">
        <v>14</v>
      </c>
      <c r="H162" s="169">
        <v>98.039000000000001</v>
      </c>
    </row>
    <row r="163" spans="1:8" x14ac:dyDescent="0.2">
      <c r="A163" t="s">
        <v>139</v>
      </c>
      <c r="B163" s="1">
        <v>15134970</v>
      </c>
      <c r="C163" s="136" t="str" cm="1">
        <f t="array" ref="C163">long_to_rgb(B163)</f>
        <v>250, 240, 230</v>
      </c>
      <c r="D163" s="136" t="str" cm="1">
        <f t="array" ref="D163">rgb_to_hex(C163)</f>
        <v>#FAF0E6</v>
      </c>
      <c r="F163" s="169" cm="1">
        <f t="array" ref="F163:H163">rgb_to_hsb(C163)</f>
        <v>30</v>
      </c>
      <c r="G163" s="169">
        <v>8</v>
      </c>
      <c r="H163" s="169">
        <v>98.039000000000001</v>
      </c>
    </row>
    <row r="164" spans="1:8" x14ac:dyDescent="0.2">
      <c r="A164" t="s">
        <v>140</v>
      </c>
      <c r="B164" s="1">
        <v>14480885</v>
      </c>
      <c r="C164" s="137" t="str" cm="1">
        <f t="array" ref="C164">long_to_rgb(B164)</f>
        <v>245, 245, 220</v>
      </c>
      <c r="D164" s="137" t="str" cm="1">
        <f t="array" ref="D164">rgb_to_hex(C164)</f>
        <v>#F5F5DC</v>
      </c>
      <c r="F164" s="169" cm="1">
        <f t="array" ref="F164:H164">rgb_to_hsb(C164)</f>
        <v>60</v>
      </c>
      <c r="G164" s="169">
        <v>10.204000000000001</v>
      </c>
      <c r="H164" s="169">
        <v>96.078000000000003</v>
      </c>
    </row>
    <row r="165" spans="1:8" x14ac:dyDescent="0.2">
      <c r="A165" t="s">
        <v>141</v>
      </c>
      <c r="B165" s="1">
        <v>16119285</v>
      </c>
      <c r="C165" s="138" t="str" cm="1">
        <f t="array" ref="C165">long_to_rgb(B165)</f>
        <v>245, 245, 245</v>
      </c>
      <c r="D165" s="138" t="str" cm="1">
        <f t="array" ref="D165">rgb_to_hex(C165)</f>
        <v>#F5F5F5</v>
      </c>
      <c r="F165" s="169" cm="1">
        <f t="array" ref="F165:H165">rgb_to_hsb(C165)</f>
        <v>0</v>
      </c>
      <c r="G165" s="169">
        <v>0</v>
      </c>
      <c r="H165" s="169">
        <v>96.078431372549019</v>
      </c>
    </row>
    <row r="166" spans="1:8" x14ac:dyDescent="0.2">
      <c r="A166" t="s">
        <v>142</v>
      </c>
      <c r="B166" s="1">
        <v>16118015</v>
      </c>
      <c r="C166" s="139" t="str" cm="1">
        <f t="array" ref="C166">long_to_rgb(B166)</f>
        <v>255, 240, 245</v>
      </c>
      <c r="D166" s="139" t="str" cm="1">
        <f t="array" ref="D166">rgb_to_hex(C166)</f>
        <v>#FFF0F5</v>
      </c>
      <c r="F166" s="169" cm="1">
        <f t="array" ref="F166:H166">rgb_to_hsb(C166)</f>
        <v>340</v>
      </c>
      <c r="G166" s="169">
        <v>5.8819999999999997</v>
      </c>
      <c r="H166" s="169">
        <v>100</v>
      </c>
    </row>
    <row r="167" spans="1:8" x14ac:dyDescent="0.2">
      <c r="A167" t="s">
        <v>143</v>
      </c>
      <c r="B167" s="1">
        <v>15136253</v>
      </c>
      <c r="C167" s="140" t="str" cm="1">
        <f t="array" ref="C167">long_to_rgb(B167)</f>
        <v>253, 245, 230</v>
      </c>
      <c r="D167" s="140" t="str" cm="1">
        <f t="array" ref="D167">rgb_to_hex(C167)</f>
        <v>#FDF5E6</v>
      </c>
      <c r="F167" s="169" cm="1">
        <f t="array" ref="F167:H167">rgb_to_hsb(C167)</f>
        <v>39.130000000000003</v>
      </c>
      <c r="G167" s="169">
        <v>9.0909999999999993</v>
      </c>
      <c r="H167" s="169">
        <v>99.215999999999994</v>
      </c>
    </row>
    <row r="168" spans="1:8" x14ac:dyDescent="0.2">
      <c r="A168" t="s">
        <v>144</v>
      </c>
      <c r="B168" s="1">
        <v>16775408</v>
      </c>
      <c r="C168" s="141" t="str" cm="1">
        <f t="array" ref="C168">long_to_rgb(B168)</f>
        <v>240, 248, 255</v>
      </c>
      <c r="D168" s="141" t="str" cm="1">
        <f t="array" ref="D168">rgb_to_hex(C168)</f>
        <v>#F0F8FF</v>
      </c>
      <c r="F168" s="169" cm="1">
        <f t="array" ref="F168:H168">rgb_to_hsb(C168)</f>
        <v>208</v>
      </c>
      <c r="G168" s="169">
        <v>5.8819999999999997</v>
      </c>
      <c r="H168" s="169">
        <v>100</v>
      </c>
    </row>
    <row r="169" spans="1:8" x14ac:dyDescent="0.2">
      <c r="A169" t="s">
        <v>145</v>
      </c>
      <c r="B169" s="1">
        <v>15660543</v>
      </c>
      <c r="C169" s="142" t="str" cm="1">
        <f t="array" ref="C169">long_to_rgb(B169)</f>
        <v>255, 245, 238</v>
      </c>
      <c r="D169" s="142" t="str" cm="1">
        <f t="array" ref="D169">rgb_to_hex(C169)</f>
        <v>#FFF5EE</v>
      </c>
      <c r="F169" s="169" cm="1">
        <f t="array" ref="F169:H169">rgb_to_hsb(C169)</f>
        <v>24.706</v>
      </c>
      <c r="G169" s="169">
        <v>6.6669999999999998</v>
      </c>
      <c r="H169" s="169">
        <v>100</v>
      </c>
    </row>
    <row r="170" spans="1:8" x14ac:dyDescent="0.2">
      <c r="A170" t="s">
        <v>146</v>
      </c>
      <c r="B170" s="1">
        <v>16775416</v>
      </c>
      <c r="C170" s="143" t="str" cm="1">
        <f t="array" ref="C170">long_to_rgb(B170)</f>
        <v>248, 248, 255</v>
      </c>
      <c r="D170" s="143" t="str" cm="1">
        <f t="array" ref="D170">rgb_to_hex(C170)</f>
        <v>#F8F8FF</v>
      </c>
      <c r="F170" s="169" cm="1">
        <f t="array" ref="F170:H170">rgb_to_hsb(C170)</f>
        <v>240</v>
      </c>
      <c r="G170" s="169">
        <v>2.7450000000000001</v>
      </c>
      <c r="H170" s="169">
        <v>100</v>
      </c>
    </row>
    <row r="171" spans="1:8" x14ac:dyDescent="0.2">
      <c r="A171" t="s">
        <v>147</v>
      </c>
      <c r="B171" s="1">
        <v>15794160</v>
      </c>
      <c r="C171" s="144" t="str" cm="1">
        <f t="array" ref="C171">long_to_rgb(B171)</f>
        <v>240, 255, 240</v>
      </c>
      <c r="D171" s="144" t="str" cm="1">
        <f t="array" ref="D171">rgb_to_hex(C171)</f>
        <v>#F0FFF0</v>
      </c>
      <c r="F171" s="169" cm="1">
        <f t="array" ref="F171:H171">rgb_to_hsb(C171)</f>
        <v>120</v>
      </c>
      <c r="G171" s="169">
        <v>5.8819999999999997</v>
      </c>
      <c r="H171" s="169">
        <v>100</v>
      </c>
    </row>
    <row r="172" spans="1:8" x14ac:dyDescent="0.2">
      <c r="A172" t="s">
        <v>148</v>
      </c>
      <c r="B172" s="1">
        <v>15792895</v>
      </c>
      <c r="C172" s="145" t="str" cm="1">
        <f t="array" ref="C172">long_to_rgb(B172)</f>
        <v>255, 250, 240</v>
      </c>
      <c r="D172" s="145" t="str" cm="1">
        <f t="array" ref="D172">rgb_to_hex(C172)</f>
        <v>#FFFAF0</v>
      </c>
      <c r="F172" s="169" cm="1">
        <f t="array" ref="F172:H172">rgb_to_hsb(C172)</f>
        <v>40</v>
      </c>
      <c r="G172" s="169">
        <v>5.8819999999999997</v>
      </c>
      <c r="H172" s="169">
        <v>100</v>
      </c>
    </row>
    <row r="173" spans="1:8" x14ac:dyDescent="0.2">
      <c r="A173" t="s">
        <v>149</v>
      </c>
      <c r="B173" s="1">
        <v>16777200</v>
      </c>
      <c r="C173" s="146" t="str" cm="1">
        <f t="array" ref="C173">long_to_rgb(B173)</f>
        <v>240, 255, 255</v>
      </c>
      <c r="D173" s="146" t="str" cm="1">
        <f t="array" ref="D173">rgb_to_hex(C173)</f>
        <v>#F0FFFF</v>
      </c>
      <c r="F173" s="169" cm="1">
        <f t="array" ref="F173:H173">rgb_to_hsb(C173)</f>
        <v>180</v>
      </c>
      <c r="G173" s="169">
        <v>5.8819999999999997</v>
      </c>
      <c r="H173" s="169">
        <v>100</v>
      </c>
    </row>
    <row r="174" spans="1:8" x14ac:dyDescent="0.2">
      <c r="A174" t="s">
        <v>150</v>
      </c>
      <c r="B174" s="1">
        <v>16449525</v>
      </c>
      <c r="C174" s="147" t="str" cm="1">
        <f t="array" ref="C174">long_to_rgb(B174)</f>
        <v>245, 255, 250</v>
      </c>
      <c r="D174" s="147" t="str" cm="1">
        <f t="array" ref="D174">rgb_to_hex(C174)</f>
        <v>#F5FFFA</v>
      </c>
      <c r="F174" s="169" cm="1">
        <f t="array" ref="F174:H174">rgb_to_hsb(C174)</f>
        <v>150</v>
      </c>
      <c r="G174" s="169">
        <v>3.9220000000000002</v>
      </c>
      <c r="H174" s="169">
        <v>100</v>
      </c>
    </row>
    <row r="175" spans="1:8" x14ac:dyDescent="0.2">
      <c r="A175" t="s">
        <v>151</v>
      </c>
      <c r="B175" s="1">
        <v>16448255</v>
      </c>
      <c r="C175" s="148" t="str" cm="1">
        <f t="array" ref="C175">long_to_rgb(B175)</f>
        <v>255, 250, 250</v>
      </c>
      <c r="D175" s="148" t="str" cm="1">
        <f t="array" ref="D175">rgb_to_hex(C175)</f>
        <v>#FFFAFA</v>
      </c>
      <c r="F175" s="169" cm="1">
        <f t="array" ref="F175:H175">rgb_to_hsb(C175)</f>
        <v>0</v>
      </c>
      <c r="G175" s="169">
        <v>1.9610000000000001</v>
      </c>
      <c r="H175" s="169">
        <v>100</v>
      </c>
    </row>
    <row r="176" spans="1:8" x14ac:dyDescent="0.2">
      <c r="A176" t="s">
        <v>152</v>
      </c>
      <c r="B176" s="1">
        <v>15794175</v>
      </c>
      <c r="C176" s="149" t="str" cm="1">
        <f t="array" ref="C176">long_to_rgb(B176)</f>
        <v>255, 255, 240</v>
      </c>
      <c r="D176" s="149" t="str" cm="1">
        <f t="array" ref="D176">rgb_to_hex(C176)</f>
        <v>#FFFFF0</v>
      </c>
      <c r="F176" s="169" cm="1">
        <f t="array" ref="F176:H176">rgb_to_hsb(C176)</f>
        <v>60</v>
      </c>
      <c r="G176" s="169">
        <v>5.8819999999999997</v>
      </c>
      <c r="H176" s="169">
        <v>100</v>
      </c>
    </row>
    <row r="177" spans="1:8" x14ac:dyDescent="0.2">
      <c r="A177" t="s">
        <v>153</v>
      </c>
      <c r="B177" s="1">
        <v>16777215</v>
      </c>
      <c r="C177" s="150" t="str" cm="1">
        <f t="array" ref="C177">long_to_rgb(B177)</f>
        <v>255, 255, 255</v>
      </c>
      <c r="D177" s="150" t="str" cm="1">
        <f t="array" ref="D177">rgb_to_hex(C177)</f>
        <v>#FFFFFF</v>
      </c>
      <c r="F177" s="169" cm="1">
        <f t="array" ref="F177:H177">rgb_to_hsb(C177)</f>
        <v>0</v>
      </c>
      <c r="G177" s="169">
        <v>0</v>
      </c>
      <c r="H177" s="169">
        <v>100</v>
      </c>
    </row>
    <row r="178" spans="1:8" x14ac:dyDescent="0.2">
      <c r="B178" s="1"/>
      <c r="F178" s="169"/>
      <c r="G178" s="169"/>
      <c r="H178" s="169"/>
    </row>
    <row r="179" spans="1:8" x14ac:dyDescent="0.2">
      <c r="B179" s="1"/>
      <c r="F179" s="169"/>
      <c r="G179" s="169"/>
      <c r="H179" s="169"/>
    </row>
    <row r="180" spans="1:8" x14ac:dyDescent="0.2">
      <c r="A180" t="s">
        <v>154</v>
      </c>
      <c r="B180" s="1">
        <v>0</v>
      </c>
      <c r="C180" s="151" t="str" cm="1">
        <f t="array" ref="C180">long_to_rgb(B180)</f>
        <v>0, 0, 0</v>
      </c>
      <c r="D180" s="151" t="str" cm="1">
        <f t="array" ref="D180">rgb_to_hex(C180)</f>
        <v>#000000</v>
      </c>
      <c r="F180" s="169" cm="1">
        <f t="array" ref="F180:H180">rgb_to_hsb(C180)</f>
        <v>0</v>
      </c>
      <c r="G180" s="169">
        <v>0</v>
      </c>
      <c r="H180" s="169">
        <v>0</v>
      </c>
    </row>
    <row r="181" spans="1:8" x14ac:dyDescent="0.2">
      <c r="A181" t="s">
        <v>155</v>
      </c>
      <c r="B181" s="1">
        <v>5197615</v>
      </c>
      <c r="C181" s="152" t="str" cm="1">
        <f t="array" ref="C181">long_to_rgb(B181)</f>
        <v>47, 79, 79</v>
      </c>
      <c r="D181" s="152" t="str" cm="1">
        <f t="array" ref="D181">rgb_to_hex(C181)</f>
        <v>#2F4F4F</v>
      </c>
      <c r="F181" s="169" cm="1">
        <f t="array" ref="F181:H181">rgb_to_hsb(C181)</f>
        <v>180</v>
      </c>
      <c r="G181" s="169">
        <v>40.506</v>
      </c>
      <c r="H181" s="169">
        <v>30.98</v>
      </c>
    </row>
    <row r="182" spans="1:8" x14ac:dyDescent="0.2">
      <c r="A182" t="s">
        <v>156</v>
      </c>
      <c r="B182" s="1">
        <v>6908265</v>
      </c>
      <c r="C182" s="153" t="str" cm="1">
        <f t="array" ref="C182">long_to_rgb(B182)</f>
        <v>105, 105, 105</v>
      </c>
      <c r="D182" s="153" t="str" cm="1">
        <f t="array" ref="D182">rgb_to_hex(C182)</f>
        <v>#696969</v>
      </c>
      <c r="F182" s="169" cm="1">
        <f t="array" ref="F182:H182">rgb_to_hsb(C182)</f>
        <v>0</v>
      </c>
      <c r="G182" s="169">
        <v>0</v>
      </c>
      <c r="H182" s="169">
        <v>41.17647058823529</v>
      </c>
    </row>
    <row r="183" spans="1:8" x14ac:dyDescent="0.2">
      <c r="A183" t="s">
        <v>157</v>
      </c>
      <c r="B183" s="1">
        <v>9470064</v>
      </c>
      <c r="C183" s="154" t="str" cm="1">
        <f t="array" ref="C183">long_to_rgb(B183)</f>
        <v>112, 128, 144</v>
      </c>
      <c r="D183" s="154" t="str" cm="1">
        <f t="array" ref="D183">rgb_to_hex(C183)</f>
        <v>#708090</v>
      </c>
      <c r="F183" s="169" cm="1">
        <f t="array" ref="F183:H183">rgb_to_hsb(C183)</f>
        <v>210</v>
      </c>
      <c r="G183" s="169">
        <v>22.222000000000001</v>
      </c>
      <c r="H183" s="169">
        <v>56.470999999999997</v>
      </c>
    </row>
    <row r="184" spans="1:8" x14ac:dyDescent="0.2">
      <c r="A184" t="s">
        <v>158</v>
      </c>
      <c r="B184" s="1">
        <v>8421504</v>
      </c>
      <c r="C184" s="155" t="str" cm="1">
        <f t="array" ref="C184">long_to_rgb(B184)</f>
        <v>128, 128, 128</v>
      </c>
      <c r="D184" s="155" t="str" cm="1">
        <f t="array" ref="D184">rgb_to_hex(C184)</f>
        <v>#808080</v>
      </c>
      <c r="F184" s="169" cm="1">
        <f t="array" ref="F184:H184">rgb_to_hsb(C184)</f>
        <v>0</v>
      </c>
      <c r="G184" s="169">
        <v>0</v>
      </c>
      <c r="H184" s="169">
        <v>50.196078431372548</v>
      </c>
    </row>
    <row r="185" spans="1:8" x14ac:dyDescent="0.2">
      <c r="A185" t="s">
        <v>159</v>
      </c>
      <c r="B185" s="1">
        <v>10061943</v>
      </c>
      <c r="C185" s="156" t="str" cm="1">
        <f t="array" ref="C185">long_to_rgb(B185)</f>
        <v>119, 136, 153</v>
      </c>
      <c r="D185" s="156" t="str" cm="1">
        <f t="array" ref="D185">rgb_to_hex(C185)</f>
        <v>#778899</v>
      </c>
      <c r="F185" s="169" cm="1">
        <f t="array" ref="F185:H185">rgb_to_hsb(C185)</f>
        <v>210</v>
      </c>
      <c r="G185" s="169">
        <v>22.222000000000001</v>
      </c>
      <c r="H185" s="169">
        <v>60</v>
      </c>
    </row>
    <row r="186" spans="1:8" x14ac:dyDescent="0.2">
      <c r="A186" t="s">
        <v>160</v>
      </c>
      <c r="B186" s="1">
        <v>11119017</v>
      </c>
      <c r="C186" s="157" t="str" cm="1">
        <f t="array" ref="C186">long_to_rgb(B186)</f>
        <v>169, 169, 169</v>
      </c>
      <c r="D186" s="157" t="str" cm="1">
        <f t="array" ref="D186">rgb_to_hex(C186)</f>
        <v>#A9A9A9</v>
      </c>
      <c r="F186" s="169" cm="1">
        <f t="array" ref="F186:H186">rgb_to_hsb(C186)</f>
        <v>0</v>
      </c>
      <c r="G186" s="169">
        <v>0</v>
      </c>
      <c r="H186" s="169">
        <v>66.274509803921561</v>
      </c>
    </row>
    <row r="187" spans="1:8" x14ac:dyDescent="0.2">
      <c r="A187" t="s">
        <v>161</v>
      </c>
      <c r="B187" s="1">
        <v>12632256</v>
      </c>
      <c r="C187" s="158" t="str" cm="1">
        <f t="array" ref="C187">long_to_rgb(B187)</f>
        <v>192, 192, 192</v>
      </c>
      <c r="D187" s="158" t="str" cm="1">
        <f t="array" ref="D187">rgb_to_hex(C187)</f>
        <v>#C0C0C0</v>
      </c>
      <c r="F187" s="169" cm="1">
        <f t="array" ref="F187:H187">rgb_to_hsb(C187)</f>
        <v>0</v>
      </c>
      <c r="G187" s="169">
        <v>0</v>
      </c>
      <c r="H187" s="169">
        <v>75.294117647058826</v>
      </c>
    </row>
    <row r="188" spans="1:8" x14ac:dyDescent="0.2">
      <c r="A188" t="s">
        <v>162</v>
      </c>
      <c r="B188" s="1">
        <v>13882323</v>
      </c>
      <c r="C188" s="159" t="str" cm="1">
        <f t="array" ref="C188">long_to_rgb(B188)</f>
        <v>211, 211, 211</v>
      </c>
      <c r="D188" s="159" t="str" cm="1">
        <f t="array" ref="D188">rgb_to_hex(C188)</f>
        <v>#D3D3D3</v>
      </c>
      <c r="F188" s="169" cm="1">
        <f t="array" ref="F188:H188">rgb_to_hsb(C188)</f>
        <v>0</v>
      </c>
      <c r="G188" s="169">
        <v>0</v>
      </c>
      <c r="H188" s="169">
        <v>82.745098039215677</v>
      </c>
    </row>
    <row r="189" spans="1:8" x14ac:dyDescent="0.2">
      <c r="A189" t="s">
        <v>163</v>
      </c>
      <c r="B189" s="1">
        <v>14474460</v>
      </c>
      <c r="C189" s="160" t="str" cm="1">
        <f t="array" ref="C189">long_to_rgb(B189)</f>
        <v>220, 220, 220</v>
      </c>
      <c r="D189" s="160" t="str" cm="1">
        <f t="array" ref="D189">rgb_to_hex(C189)</f>
        <v>#DCDCDC</v>
      </c>
      <c r="F189" s="169" cm="1">
        <f t="array" ref="F189:H189">rgb_to_hsb(C189)</f>
        <v>0</v>
      </c>
      <c r="G189" s="169">
        <v>0</v>
      </c>
      <c r="H189" s="169">
        <v>86.274509803921575</v>
      </c>
    </row>
  </sheetData>
  <pageMargins left="0.25" right="0.25" top="0.25" bottom="0.2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5339-30AC-4332-8523-E7FE91DF85B3}">
  <sheetPr codeName="Sheet2"/>
  <dimension ref="D8:F13"/>
  <sheetViews>
    <sheetView workbookViewId="0">
      <selection activeCell="F13" sqref="F13"/>
    </sheetView>
  </sheetViews>
  <sheetFormatPr defaultRowHeight="12" x14ac:dyDescent="0.2"/>
  <sheetData>
    <row r="8" spans="4:6" x14ac:dyDescent="0.2">
      <c r="D8" s="163" t="s">
        <v>166</v>
      </c>
      <c r="E8" t="str" cm="1">
        <f t="array" ref="E8">hex_to_rgb(D8)</f>
        <v>255, 99, 88</v>
      </c>
      <c r="F8" cm="1">
        <f t="array" ref="F8">rgb_to_long(E8)</f>
        <v>5792767</v>
      </c>
    </row>
    <row r="9" spans="4:6" x14ac:dyDescent="0.2">
      <c r="D9" s="164" t="s">
        <v>167</v>
      </c>
      <c r="E9" t="str" cm="1">
        <f t="array" ref="E9">hex_to_rgb(D9)</f>
        <v>255, 210, 70</v>
      </c>
      <c r="F9" cm="1">
        <f t="array" ref="F9">rgb_to_long(E9)</f>
        <v>4641535</v>
      </c>
    </row>
    <row r="10" spans="4:6" x14ac:dyDescent="0.2">
      <c r="D10" s="165" t="s">
        <v>168</v>
      </c>
      <c r="E10" t="str" cm="1">
        <f t="array" ref="E10">hex_to_rgb(D10)</f>
        <v>120, 210, 55</v>
      </c>
      <c r="F10" cm="1">
        <f t="array" ref="F10">rgb_to_long(E10)</f>
        <v>3658360</v>
      </c>
    </row>
    <row r="11" spans="4:6" x14ac:dyDescent="0.2">
      <c r="D11" s="166" t="s">
        <v>169</v>
      </c>
      <c r="E11" t="str" cm="1">
        <f t="array" ref="E11">hex_to_rgb(D11)</f>
        <v>40, 180, 200</v>
      </c>
      <c r="F11" cm="1">
        <f t="array" ref="F11">rgb_to_long(E11)</f>
        <v>13153320</v>
      </c>
    </row>
    <row r="12" spans="4:6" x14ac:dyDescent="0.2">
      <c r="D12" s="167" t="s">
        <v>170</v>
      </c>
      <c r="E12" t="str" cm="1">
        <f t="array" ref="E12">hex_to_rgb(D12)</f>
        <v>45, 115, 245</v>
      </c>
      <c r="F12" cm="1">
        <f t="array" ref="F12">rgb_to_long(E12)</f>
        <v>16085805</v>
      </c>
    </row>
    <row r="13" spans="4:6" x14ac:dyDescent="0.2">
      <c r="D13" s="168" t="s">
        <v>171</v>
      </c>
      <c r="E13" t="str" cm="1">
        <f t="array" ref="E13">hex_to_rgb(D13)</f>
        <v>170, 70, 190</v>
      </c>
      <c r="F13" cm="1">
        <f t="array" ref="F13">rgb_to_long(E13)</f>
        <v>12469930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6141-4A69-42AD-A433-151715F1854A}">
  <sheetPr codeName="Sheet3"/>
  <dimension ref="A1:H189"/>
  <sheetViews>
    <sheetView tabSelected="1" topLeftCell="A24" workbookViewId="0">
      <selection activeCell="K36" sqref="K36"/>
    </sheetView>
  </sheetViews>
  <sheetFormatPr defaultRowHeight="12" x14ac:dyDescent="0.2"/>
  <cols>
    <col min="1" max="1" width="26.28515625" bestFit="1" customWidth="1"/>
    <col min="2" max="2" width="14.28515625" customWidth="1"/>
    <col min="3" max="3" width="15.5703125" customWidth="1"/>
    <col min="4" max="4" width="15.140625" customWidth="1"/>
    <col min="5" max="5" width="2.7109375" customWidth="1"/>
  </cols>
  <sheetData>
    <row r="1" spans="1:8" ht="15.75" x14ac:dyDescent="0.25">
      <c r="A1" s="162" t="s">
        <v>0</v>
      </c>
      <c r="B1" s="162" t="s">
        <v>1</v>
      </c>
      <c r="C1" s="162" t="s">
        <v>2</v>
      </c>
      <c r="D1" s="162" t="s">
        <v>3</v>
      </c>
      <c r="F1" s="170" t="s">
        <v>172</v>
      </c>
      <c r="G1" s="170" t="s">
        <v>173</v>
      </c>
      <c r="H1" s="170" t="s">
        <v>174</v>
      </c>
    </row>
    <row r="2" spans="1:8" ht="15.75" x14ac:dyDescent="0.25">
      <c r="A2" s="162" t="s">
        <v>165</v>
      </c>
      <c r="B2" s="2"/>
      <c r="C2" s="2"/>
      <c r="D2" s="2"/>
    </row>
    <row r="3" spans="1:8" x14ac:dyDescent="0.2">
      <c r="A3" t="s">
        <v>4</v>
      </c>
      <c r="B3" s="1">
        <v>9406186</v>
      </c>
      <c r="C3" s="3" t="s">
        <v>175</v>
      </c>
      <c r="D3" s="3" t="s">
        <v>176</v>
      </c>
      <c r="F3" s="169">
        <v>354.6</v>
      </c>
      <c r="G3" s="169">
        <v>42.734999999999999</v>
      </c>
      <c r="H3" s="169">
        <v>91.765000000000001</v>
      </c>
    </row>
    <row r="4" spans="1:8" x14ac:dyDescent="0.2">
      <c r="A4" t="s">
        <v>5</v>
      </c>
      <c r="B4" s="1">
        <v>7002879</v>
      </c>
      <c r="C4" s="4" t="s">
        <v>177</v>
      </c>
      <c r="D4" s="4" t="s">
        <v>178</v>
      </c>
      <c r="F4" s="169">
        <v>45.100999999999999</v>
      </c>
      <c r="G4" s="169">
        <v>58.430999999999997</v>
      </c>
      <c r="H4" s="169">
        <v>100</v>
      </c>
    </row>
    <row r="5" spans="1:8" x14ac:dyDescent="0.2">
      <c r="A5" t="s">
        <v>6</v>
      </c>
      <c r="B5" s="1">
        <v>6269045</v>
      </c>
      <c r="C5" s="5" t="s">
        <v>179</v>
      </c>
      <c r="D5" s="5" t="s">
        <v>180</v>
      </c>
      <c r="F5" s="169">
        <v>101.91800000000001</v>
      </c>
      <c r="G5" s="169">
        <v>43.451999999999998</v>
      </c>
      <c r="H5" s="169">
        <v>65.882000000000005</v>
      </c>
    </row>
    <row r="6" spans="1:8" x14ac:dyDescent="0.2">
      <c r="A6" t="s">
        <v>7</v>
      </c>
      <c r="B6" s="1">
        <v>16689262</v>
      </c>
      <c r="C6" s="6" t="s">
        <v>181</v>
      </c>
      <c r="D6" s="6" t="s">
        <v>182</v>
      </c>
      <c r="F6" s="169">
        <v>215.833</v>
      </c>
      <c r="G6" s="169">
        <v>56.692999999999998</v>
      </c>
      <c r="H6" s="169">
        <v>99.608000000000004</v>
      </c>
    </row>
    <row r="7" spans="1:8" x14ac:dyDescent="0.2">
      <c r="A7" t="s">
        <v>8</v>
      </c>
      <c r="B7" s="1">
        <v>11644071</v>
      </c>
      <c r="C7" s="7" t="s">
        <v>183</v>
      </c>
      <c r="D7" s="7" t="s">
        <v>184</v>
      </c>
      <c r="F7" s="169">
        <v>210</v>
      </c>
      <c r="G7" s="169">
        <v>5.65</v>
      </c>
      <c r="H7" s="169">
        <v>69.412000000000006</v>
      </c>
    </row>
    <row r="8" spans="1:8" x14ac:dyDescent="0.2">
      <c r="B8" s="1"/>
    </row>
    <row r="9" spans="1:8" x14ac:dyDescent="0.2">
      <c r="A9" t="s">
        <v>9</v>
      </c>
      <c r="B9" s="1">
        <v>14342136</v>
      </c>
      <c r="C9" s="8" t="s">
        <v>185</v>
      </c>
      <c r="D9" s="8" t="s">
        <v>186</v>
      </c>
      <c r="F9" s="169">
        <v>354.54500000000002</v>
      </c>
      <c r="G9" s="169">
        <v>13.305999999999999</v>
      </c>
      <c r="H9" s="169">
        <v>97.254999999999995</v>
      </c>
    </row>
    <row r="10" spans="1:8" x14ac:dyDescent="0.2">
      <c r="A10" t="s">
        <v>10</v>
      </c>
      <c r="B10" s="1">
        <v>13497343</v>
      </c>
      <c r="C10" s="9" t="s">
        <v>187</v>
      </c>
      <c r="D10" s="9" t="s">
        <v>188</v>
      </c>
      <c r="F10" s="169">
        <v>45.6</v>
      </c>
      <c r="G10" s="169">
        <v>19.608000000000001</v>
      </c>
      <c r="H10" s="169">
        <v>100</v>
      </c>
    </row>
    <row r="11" spans="1:8" x14ac:dyDescent="0.2">
      <c r="A11" t="s">
        <v>11</v>
      </c>
      <c r="B11" s="1">
        <v>14542801</v>
      </c>
      <c r="C11" s="10" t="s">
        <v>189</v>
      </c>
      <c r="D11" s="10" t="s">
        <v>190</v>
      </c>
      <c r="F11" s="169">
        <v>152.727</v>
      </c>
      <c r="G11" s="169">
        <v>9.5239999999999991</v>
      </c>
      <c r="H11" s="169">
        <v>90.587999999999994</v>
      </c>
    </row>
    <row r="12" spans="1:8" x14ac:dyDescent="0.2">
      <c r="A12" t="s">
        <v>12</v>
      </c>
      <c r="B12" s="1">
        <v>16769743</v>
      </c>
      <c r="C12" s="11" t="s">
        <v>191</v>
      </c>
      <c r="D12" s="11" t="s">
        <v>192</v>
      </c>
      <c r="F12" s="169">
        <v>216.25</v>
      </c>
      <c r="G12" s="169">
        <v>18.824000000000002</v>
      </c>
      <c r="H12" s="169">
        <v>100</v>
      </c>
    </row>
    <row r="13" spans="1:8" x14ac:dyDescent="0.2">
      <c r="A13" t="s">
        <v>13</v>
      </c>
      <c r="B13" s="1">
        <v>15066082</v>
      </c>
      <c r="C13" s="12" t="s">
        <v>193</v>
      </c>
      <c r="D13" s="12" t="s">
        <v>194</v>
      </c>
      <c r="F13" s="169">
        <v>220</v>
      </c>
      <c r="G13" s="169">
        <v>1.31</v>
      </c>
      <c r="H13" s="169">
        <v>89.804000000000002</v>
      </c>
    </row>
    <row r="14" spans="1:8" x14ac:dyDescent="0.2">
      <c r="B14" s="1"/>
    </row>
    <row r="15" spans="1:8" x14ac:dyDescent="0.2">
      <c r="A15" t="s">
        <v>14</v>
      </c>
      <c r="B15" s="1">
        <v>1840472</v>
      </c>
      <c r="C15" s="13" t="s">
        <v>195</v>
      </c>
      <c r="D15" s="13" t="s">
        <v>196</v>
      </c>
      <c r="F15" s="169">
        <v>353.73099999999999</v>
      </c>
      <c r="G15" s="169">
        <v>76.135999999999996</v>
      </c>
      <c r="H15" s="169">
        <v>34.51</v>
      </c>
    </row>
    <row r="16" spans="1:8" x14ac:dyDescent="0.2">
      <c r="A16" t="s">
        <v>15</v>
      </c>
      <c r="B16" s="1">
        <v>216422</v>
      </c>
      <c r="C16" s="14" t="s">
        <v>197</v>
      </c>
      <c r="D16" s="14" t="s">
        <v>198</v>
      </c>
      <c r="F16" s="169">
        <v>44.847999999999999</v>
      </c>
      <c r="G16" s="169">
        <v>97.058999999999997</v>
      </c>
      <c r="H16" s="169">
        <v>40</v>
      </c>
    </row>
    <row r="17" spans="1:8" x14ac:dyDescent="0.2">
      <c r="A17" t="s">
        <v>16</v>
      </c>
      <c r="B17" s="1">
        <v>2242058</v>
      </c>
      <c r="C17" s="15" t="s">
        <v>199</v>
      </c>
      <c r="D17" s="15" t="s">
        <v>200</v>
      </c>
      <c r="F17" s="169">
        <v>152.727</v>
      </c>
      <c r="G17" s="169">
        <v>81.480999999999995</v>
      </c>
      <c r="H17" s="169">
        <v>21.175999999999998</v>
      </c>
    </row>
    <row r="18" spans="1:8" x14ac:dyDescent="0.2">
      <c r="A18" t="s">
        <v>17</v>
      </c>
      <c r="B18" s="1">
        <v>6630405</v>
      </c>
      <c r="C18" s="16" t="s">
        <v>201</v>
      </c>
      <c r="D18" s="16" t="s">
        <v>202</v>
      </c>
      <c r="F18" s="169">
        <v>215.625</v>
      </c>
      <c r="G18" s="169">
        <v>95.05</v>
      </c>
      <c r="H18" s="169">
        <v>39.607999999999997</v>
      </c>
    </row>
    <row r="19" spans="1:8" x14ac:dyDescent="0.2">
      <c r="A19" t="s">
        <v>18</v>
      </c>
      <c r="B19" s="1">
        <v>3288875</v>
      </c>
      <c r="C19" s="17" t="s">
        <v>203</v>
      </c>
      <c r="D19" s="17" t="s">
        <v>204</v>
      </c>
      <c r="F19" s="169">
        <v>205.714</v>
      </c>
      <c r="G19" s="169">
        <v>14</v>
      </c>
      <c r="H19" s="169">
        <v>19.608000000000001</v>
      </c>
    </row>
    <row r="20" spans="1:8" x14ac:dyDescent="0.2">
      <c r="B20" s="1"/>
      <c r="F20" s="169"/>
      <c r="G20" s="169"/>
      <c r="H20" s="169"/>
    </row>
    <row r="21" spans="1:8" x14ac:dyDescent="0.2">
      <c r="A21" t="s">
        <v>19</v>
      </c>
      <c r="B21" s="1">
        <v>919084</v>
      </c>
      <c r="C21" s="18" t="s">
        <v>205</v>
      </c>
      <c r="D21" s="18" t="s">
        <v>206</v>
      </c>
      <c r="F21" s="169">
        <v>347.36799999999999</v>
      </c>
      <c r="G21" s="169">
        <v>86.364000000000004</v>
      </c>
      <c r="H21" s="169">
        <v>17.254999999999999</v>
      </c>
    </row>
    <row r="22" spans="1:8" x14ac:dyDescent="0.2">
      <c r="A22" t="s">
        <v>20</v>
      </c>
      <c r="B22" s="1">
        <v>75571</v>
      </c>
      <c r="C22" s="19" t="s">
        <v>207</v>
      </c>
      <c r="D22" s="19" t="s">
        <v>208</v>
      </c>
      <c r="F22" s="169">
        <v>45.6</v>
      </c>
      <c r="G22" s="169">
        <v>98.039000000000001</v>
      </c>
      <c r="H22" s="169">
        <v>20</v>
      </c>
    </row>
    <row r="23" spans="1:8" x14ac:dyDescent="0.2">
      <c r="A23" t="s">
        <v>21</v>
      </c>
      <c r="B23" s="1">
        <v>1121029</v>
      </c>
      <c r="C23" s="20" t="s">
        <v>209</v>
      </c>
      <c r="D23" s="20" t="s">
        <v>210</v>
      </c>
      <c r="F23" s="169">
        <v>152.727</v>
      </c>
      <c r="G23" s="169">
        <v>81.480999999999995</v>
      </c>
      <c r="H23" s="169">
        <v>10.587999999999999</v>
      </c>
    </row>
    <row r="24" spans="1:8" x14ac:dyDescent="0.2">
      <c r="A24" t="s">
        <v>22</v>
      </c>
      <c r="B24" s="1">
        <v>3349251</v>
      </c>
      <c r="C24" s="21" t="s">
        <v>211</v>
      </c>
      <c r="D24" s="21" t="s">
        <v>212</v>
      </c>
      <c r="F24" s="169">
        <v>210</v>
      </c>
      <c r="G24" s="169">
        <v>94.117999999999995</v>
      </c>
      <c r="H24" s="169">
        <v>20</v>
      </c>
    </row>
    <row r="25" spans="1:8" x14ac:dyDescent="0.2">
      <c r="A25" t="s">
        <v>23</v>
      </c>
      <c r="B25" s="1">
        <v>1644310</v>
      </c>
      <c r="C25" s="22" t="s">
        <v>213</v>
      </c>
      <c r="D25" s="22" t="s">
        <v>214</v>
      </c>
      <c r="F25" s="169">
        <v>220</v>
      </c>
      <c r="G25" s="169">
        <v>12</v>
      </c>
      <c r="H25" s="169">
        <v>9.8040000000000003</v>
      </c>
    </row>
    <row r="26" spans="1:8" x14ac:dyDescent="0.2">
      <c r="B26" s="1"/>
      <c r="F26" s="169"/>
      <c r="G26" s="169"/>
      <c r="H26" s="169"/>
    </row>
    <row r="27" spans="1:8" ht="18" x14ac:dyDescent="0.25">
      <c r="A27" s="161" t="s">
        <v>164</v>
      </c>
      <c r="B27" s="1"/>
      <c r="F27" s="169"/>
      <c r="G27" s="169"/>
      <c r="H27" s="169"/>
    </row>
    <row r="28" spans="1:8" x14ac:dyDescent="0.2">
      <c r="A28" t="s">
        <v>154</v>
      </c>
      <c r="B28" s="1">
        <v>0</v>
      </c>
      <c r="C28" s="151" t="s">
        <v>471</v>
      </c>
      <c r="D28" s="151" t="s">
        <v>472</v>
      </c>
      <c r="F28" s="169">
        <v>0</v>
      </c>
      <c r="G28" s="169">
        <v>0</v>
      </c>
      <c r="H28" s="169">
        <v>0</v>
      </c>
    </row>
    <row r="29" spans="1:8" x14ac:dyDescent="0.2">
      <c r="A29" t="s">
        <v>156</v>
      </c>
      <c r="B29" s="1">
        <v>6908265</v>
      </c>
      <c r="C29" s="153" t="s">
        <v>475</v>
      </c>
      <c r="D29" s="153" t="s">
        <v>476</v>
      </c>
      <c r="F29" s="169">
        <v>0</v>
      </c>
      <c r="G29" s="169">
        <v>0</v>
      </c>
      <c r="H29" s="169">
        <v>41.17647058823529</v>
      </c>
    </row>
    <row r="30" spans="1:8" x14ac:dyDescent="0.2">
      <c r="A30" t="s">
        <v>158</v>
      </c>
      <c r="B30" s="1">
        <v>8421504</v>
      </c>
      <c r="C30" s="155" t="s">
        <v>479</v>
      </c>
      <c r="D30" s="155" t="s">
        <v>480</v>
      </c>
      <c r="F30" s="169">
        <v>0</v>
      </c>
      <c r="G30" s="169">
        <v>0</v>
      </c>
      <c r="H30" s="169">
        <v>50.196078431372548</v>
      </c>
    </row>
    <row r="31" spans="1:8" x14ac:dyDescent="0.2">
      <c r="A31" t="s">
        <v>160</v>
      </c>
      <c r="B31" s="1">
        <v>11119017</v>
      </c>
      <c r="C31" s="157" t="s">
        <v>483</v>
      </c>
      <c r="D31" s="157" t="s">
        <v>484</v>
      </c>
      <c r="F31" s="169">
        <v>0</v>
      </c>
      <c r="G31" s="169">
        <v>0</v>
      </c>
      <c r="H31" s="169">
        <v>66.274509803921561</v>
      </c>
    </row>
    <row r="32" spans="1:8" x14ac:dyDescent="0.2">
      <c r="A32" t="s">
        <v>161</v>
      </c>
      <c r="B32" s="1">
        <v>12632256</v>
      </c>
      <c r="C32" s="158" t="s">
        <v>485</v>
      </c>
      <c r="D32" s="158" t="s">
        <v>486</v>
      </c>
      <c r="F32" s="169">
        <v>0</v>
      </c>
      <c r="G32" s="169">
        <v>0</v>
      </c>
      <c r="H32" s="169">
        <v>75.294117647058826</v>
      </c>
    </row>
    <row r="33" spans="1:8" x14ac:dyDescent="0.2">
      <c r="A33" t="s">
        <v>162</v>
      </c>
      <c r="B33" s="1">
        <v>13882323</v>
      </c>
      <c r="C33" s="159" t="s">
        <v>487</v>
      </c>
      <c r="D33" s="159" t="s">
        <v>488</v>
      </c>
      <c r="F33" s="169">
        <v>0</v>
      </c>
      <c r="G33" s="169">
        <v>0</v>
      </c>
      <c r="H33" s="169">
        <v>82.745098039215677</v>
      </c>
    </row>
    <row r="34" spans="1:8" x14ac:dyDescent="0.2">
      <c r="A34" t="s">
        <v>163</v>
      </c>
      <c r="B34" s="1">
        <v>14474460</v>
      </c>
      <c r="C34" s="160" t="s">
        <v>489</v>
      </c>
      <c r="D34" s="160" t="s">
        <v>490</v>
      </c>
      <c r="F34" s="169">
        <v>0</v>
      </c>
      <c r="G34" s="169">
        <v>0</v>
      </c>
      <c r="H34" s="169">
        <v>86.274509803921575</v>
      </c>
    </row>
    <row r="35" spans="1:8" x14ac:dyDescent="0.2">
      <c r="A35" t="s">
        <v>141</v>
      </c>
      <c r="B35" s="1">
        <v>16119285</v>
      </c>
      <c r="C35" s="138" t="s">
        <v>445</v>
      </c>
      <c r="D35" s="138" t="s">
        <v>446</v>
      </c>
      <c r="F35" s="169">
        <v>0</v>
      </c>
      <c r="G35" s="169">
        <v>0</v>
      </c>
      <c r="H35" s="169">
        <v>96.078431372549019</v>
      </c>
    </row>
    <row r="36" spans="1:8" x14ac:dyDescent="0.2">
      <c r="A36" t="s">
        <v>153</v>
      </c>
      <c r="B36" s="1">
        <v>16777215</v>
      </c>
      <c r="C36" s="150" t="s">
        <v>469</v>
      </c>
      <c r="D36" s="150" t="s">
        <v>470</v>
      </c>
      <c r="F36" s="169">
        <v>0</v>
      </c>
      <c r="G36" s="169">
        <v>0</v>
      </c>
      <c r="H36" s="169">
        <v>100</v>
      </c>
    </row>
    <row r="37" spans="1:8" x14ac:dyDescent="0.2">
      <c r="A37" t="s">
        <v>151</v>
      </c>
      <c r="B37" s="1">
        <v>16448255</v>
      </c>
      <c r="C37" s="148" t="s">
        <v>465</v>
      </c>
      <c r="D37" s="148" t="s">
        <v>466</v>
      </c>
      <c r="F37" s="169">
        <v>0</v>
      </c>
      <c r="G37" s="169">
        <v>1.9610000000000001</v>
      </c>
      <c r="H37" s="169">
        <v>100</v>
      </c>
    </row>
    <row r="38" spans="1:8" x14ac:dyDescent="0.2">
      <c r="A38" t="s">
        <v>62</v>
      </c>
      <c r="B38" s="1">
        <v>9408444</v>
      </c>
      <c r="C38" s="61" t="s">
        <v>291</v>
      </c>
      <c r="D38" s="61" t="s">
        <v>292</v>
      </c>
      <c r="F38" s="169">
        <v>0</v>
      </c>
      <c r="G38" s="169">
        <v>23.936</v>
      </c>
      <c r="H38" s="169">
        <v>73.724999999999994</v>
      </c>
    </row>
    <row r="39" spans="1:8" x14ac:dyDescent="0.2">
      <c r="A39" t="s">
        <v>35</v>
      </c>
      <c r="B39" s="1">
        <v>8421616</v>
      </c>
      <c r="C39" s="34" t="s">
        <v>237</v>
      </c>
      <c r="D39" s="34" t="s">
        <v>238</v>
      </c>
      <c r="F39" s="169">
        <v>0</v>
      </c>
      <c r="G39" s="169">
        <v>46.667000000000002</v>
      </c>
      <c r="H39" s="169">
        <v>94.117999999999995</v>
      </c>
    </row>
    <row r="40" spans="1:8" x14ac:dyDescent="0.2">
      <c r="A40" t="s">
        <v>34</v>
      </c>
      <c r="B40" s="1">
        <v>6053069</v>
      </c>
      <c r="C40" s="33" t="s">
        <v>235</v>
      </c>
      <c r="D40" s="33" t="s">
        <v>236</v>
      </c>
      <c r="F40" s="169">
        <v>0</v>
      </c>
      <c r="G40" s="169">
        <v>55.122</v>
      </c>
      <c r="H40" s="169">
        <v>80.391999999999996</v>
      </c>
    </row>
    <row r="41" spans="1:8" x14ac:dyDescent="0.2">
      <c r="A41" t="s">
        <v>56</v>
      </c>
      <c r="B41" s="1">
        <v>2763429</v>
      </c>
      <c r="C41" s="55" t="s">
        <v>279</v>
      </c>
      <c r="D41" s="55" t="s">
        <v>280</v>
      </c>
      <c r="F41" s="169">
        <v>0</v>
      </c>
      <c r="G41" s="169">
        <v>74.545000000000002</v>
      </c>
      <c r="H41" s="169">
        <v>64.706000000000003</v>
      </c>
    </row>
    <row r="42" spans="1:8" x14ac:dyDescent="0.2">
      <c r="A42" t="s">
        <v>32</v>
      </c>
      <c r="B42" s="1">
        <v>2237106</v>
      </c>
      <c r="C42" s="31" t="s">
        <v>231</v>
      </c>
      <c r="D42" s="31" t="s">
        <v>232</v>
      </c>
      <c r="F42" s="169">
        <v>0</v>
      </c>
      <c r="G42" s="169">
        <v>80.899000000000001</v>
      </c>
      <c r="H42" s="169">
        <v>69.804000000000002</v>
      </c>
    </row>
    <row r="43" spans="1:8" x14ac:dyDescent="0.2">
      <c r="A43" t="s">
        <v>55</v>
      </c>
      <c r="B43" s="1">
        <v>128</v>
      </c>
      <c r="C43" s="54" t="s">
        <v>277</v>
      </c>
      <c r="D43" s="54" t="s">
        <v>278</v>
      </c>
      <c r="F43" s="169">
        <v>0</v>
      </c>
      <c r="G43" s="169">
        <v>100</v>
      </c>
      <c r="H43" s="169">
        <v>50.195999999999998</v>
      </c>
    </row>
    <row r="44" spans="1:8" x14ac:dyDescent="0.2">
      <c r="A44" t="s">
        <v>30</v>
      </c>
      <c r="B44" s="1">
        <v>139</v>
      </c>
      <c r="C44" s="29" t="s">
        <v>227</v>
      </c>
      <c r="D44" s="29" t="s">
        <v>228</v>
      </c>
      <c r="F44" s="169">
        <v>0</v>
      </c>
      <c r="G44" s="169">
        <v>100</v>
      </c>
      <c r="H44" s="169">
        <v>54.51</v>
      </c>
    </row>
    <row r="45" spans="1:8" x14ac:dyDescent="0.2">
      <c r="A45" t="s">
        <v>31</v>
      </c>
      <c r="B45" s="1">
        <v>255</v>
      </c>
      <c r="C45" s="30" t="s">
        <v>229</v>
      </c>
      <c r="D45" s="30" t="s">
        <v>230</v>
      </c>
      <c r="F45" s="169">
        <v>0</v>
      </c>
      <c r="G45" s="169">
        <v>100</v>
      </c>
      <c r="H45" s="169">
        <v>100</v>
      </c>
    </row>
    <row r="46" spans="1:8" x14ac:dyDescent="0.2">
      <c r="A46" t="s">
        <v>137</v>
      </c>
      <c r="B46" s="1">
        <v>14804223</v>
      </c>
      <c r="C46" s="134" t="s">
        <v>437</v>
      </c>
      <c r="D46" s="134" t="s">
        <v>438</v>
      </c>
      <c r="F46" s="169">
        <v>6</v>
      </c>
      <c r="G46" s="169">
        <v>11.765000000000001</v>
      </c>
      <c r="H46" s="169">
        <v>100</v>
      </c>
    </row>
    <row r="47" spans="1:8" x14ac:dyDescent="0.2">
      <c r="A47" t="s">
        <v>36</v>
      </c>
      <c r="B47" s="1">
        <v>7504122</v>
      </c>
      <c r="C47" s="35" t="s">
        <v>239</v>
      </c>
      <c r="D47" s="35" t="s">
        <v>240</v>
      </c>
      <c r="F47" s="169">
        <v>6.1760000000000002</v>
      </c>
      <c r="G47" s="169">
        <v>54.4</v>
      </c>
      <c r="H47" s="169">
        <v>98.039000000000001</v>
      </c>
    </row>
    <row r="48" spans="1:8" x14ac:dyDescent="0.2">
      <c r="A48" t="s">
        <v>40</v>
      </c>
      <c r="B48" s="1">
        <v>4678655</v>
      </c>
      <c r="C48" s="39" t="s">
        <v>247</v>
      </c>
      <c r="D48" s="39" t="s">
        <v>248</v>
      </c>
      <c r="F48" s="169">
        <v>9.1300000000000008</v>
      </c>
      <c r="G48" s="169">
        <v>72.156999999999996</v>
      </c>
      <c r="H48" s="169">
        <v>100</v>
      </c>
    </row>
    <row r="49" spans="1:8" x14ac:dyDescent="0.2">
      <c r="A49" t="s">
        <v>37</v>
      </c>
      <c r="B49" s="1">
        <v>8034025</v>
      </c>
      <c r="C49" s="36" t="s">
        <v>241</v>
      </c>
      <c r="D49" s="36" t="s">
        <v>242</v>
      </c>
      <c r="F49" s="169">
        <v>15.135</v>
      </c>
      <c r="G49" s="169">
        <v>47.639000000000003</v>
      </c>
      <c r="H49" s="169">
        <v>91.373000000000005</v>
      </c>
    </row>
    <row r="50" spans="1:8" x14ac:dyDescent="0.2">
      <c r="A50" t="s">
        <v>42</v>
      </c>
      <c r="B50" s="1">
        <v>5275647</v>
      </c>
      <c r="C50" s="41" t="s">
        <v>251</v>
      </c>
      <c r="D50" s="41" t="s">
        <v>252</v>
      </c>
      <c r="F50" s="169">
        <v>16.114000000000001</v>
      </c>
      <c r="G50" s="169">
        <v>68.626999999999995</v>
      </c>
      <c r="H50" s="169">
        <v>100</v>
      </c>
    </row>
    <row r="51" spans="1:8" x14ac:dyDescent="0.2">
      <c r="A51" t="s">
        <v>39</v>
      </c>
      <c r="B51" s="1">
        <v>17919</v>
      </c>
      <c r="C51" s="38" t="s">
        <v>245</v>
      </c>
      <c r="D51" s="38" t="s">
        <v>246</v>
      </c>
      <c r="F51" s="169">
        <v>16.234999999999999</v>
      </c>
      <c r="G51" s="169">
        <v>100</v>
      </c>
      <c r="H51" s="169">
        <v>100</v>
      </c>
    </row>
    <row r="52" spans="1:8" x14ac:dyDescent="0.2">
      <c r="A52" t="s">
        <v>38</v>
      </c>
      <c r="B52" s="1">
        <v>8036607</v>
      </c>
      <c r="C52" s="37" t="s">
        <v>243</v>
      </c>
      <c r="D52" s="37" t="s">
        <v>244</v>
      </c>
      <c r="F52" s="169">
        <v>17.143000000000001</v>
      </c>
      <c r="G52" s="169">
        <v>52.156999999999996</v>
      </c>
      <c r="H52" s="169">
        <v>100</v>
      </c>
    </row>
    <row r="53" spans="1:8" x14ac:dyDescent="0.2">
      <c r="A53" t="s">
        <v>58</v>
      </c>
      <c r="B53" s="1">
        <v>2970272</v>
      </c>
      <c r="C53" s="57" t="s">
        <v>283</v>
      </c>
      <c r="D53" s="57" t="s">
        <v>284</v>
      </c>
      <c r="F53" s="169">
        <v>19.303999999999998</v>
      </c>
      <c r="G53" s="169">
        <v>71.875</v>
      </c>
      <c r="H53" s="169">
        <v>62.744999999999997</v>
      </c>
    </row>
    <row r="54" spans="1:8" x14ac:dyDescent="0.2">
      <c r="A54" t="s">
        <v>145</v>
      </c>
      <c r="B54" s="1">
        <v>15660543</v>
      </c>
      <c r="C54" s="142" t="s">
        <v>453</v>
      </c>
      <c r="D54" s="142" t="s">
        <v>454</v>
      </c>
      <c r="F54" s="169">
        <v>24.706</v>
      </c>
      <c r="G54" s="169">
        <v>6.6669999999999998</v>
      </c>
      <c r="H54" s="169">
        <v>100</v>
      </c>
    </row>
    <row r="55" spans="1:8" x14ac:dyDescent="0.2">
      <c r="A55" t="s">
        <v>59</v>
      </c>
      <c r="B55" s="1">
        <v>1993170</v>
      </c>
      <c r="C55" s="58" t="s">
        <v>285</v>
      </c>
      <c r="D55" s="58" t="s">
        <v>286</v>
      </c>
      <c r="F55" s="169">
        <v>25</v>
      </c>
      <c r="G55" s="169">
        <v>85.713999999999999</v>
      </c>
      <c r="H55" s="169">
        <v>82.352999999999994</v>
      </c>
    </row>
    <row r="56" spans="1:8" x14ac:dyDescent="0.2">
      <c r="A56" t="s">
        <v>57</v>
      </c>
      <c r="B56" s="1">
        <v>1262987</v>
      </c>
      <c r="C56" s="56" t="s">
        <v>281</v>
      </c>
      <c r="D56" s="56" t="s">
        <v>282</v>
      </c>
      <c r="F56" s="169">
        <v>25</v>
      </c>
      <c r="G56" s="169">
        <v>86.331000000000003</v>
      </c>
      <c r="H56" s="169">
        <v>54.51</v>
      </c>
    </row>
    <row r="57" spans="1:8" x14ac:dyDescent="0.2">
      <c r="A57" t="s">
        <v>64</v>
      </c>
      <c r="B57" s="1">
        <v>6333684</v>
      </c>
      <c r="C57" s="63" t="s">
        <v>295</v>
      </c>
      <c r="D57" s="63" t="s">
        <v>296</v>
      </c>
      <c r="F57" s="169">
        <v>27.568000000000001</v>
      </c>
      <c r="G57" s="169">
        <v>60.655999999999999</v>
      </c>
      <c r="H57" s="169">
        <v>95.686000000000007</v>
      </c>
    </row>
    <row r="58" spans="1:8" x14ac:dyDescent="0.2">
      <c r="A58" t="s">
        <v>47</v>
      </c>
      <c r="B58" s="1">
        <v>12180223</v>
      </c>
      <c r="C58" s="46" t="s">
        <v>261</v>
      </c>
      <c r="D58" s="46" t="s">
        <v>262</v>
      </c>
      <c r="F58" s="169">
        <v>28.286000000000001</v>
      </c>
      <c r="G58" s="169">
        <v>27.451000000000001</v>
      </c>
      <c r="H58" s="169">
        <v>100</v>
      </c>
    </row>
    <row r="59" spans="1:8" x14ac:dyDescent="0.2">
      <c r="A59" t="s">
        <v>61</v>
      </c>
      <c r="B59" s="1">
        <v>4163021</v>
      </c>
      <c r="C59" s="60" t="s">
        <v>289</v>
      </c>
      <c r="D59" s="60" t="s">
        <v>290</v>
      </c>
      <c r="F59" s="169">
        <v>29.577000000000002</v>
      </c>
      <c r="G59" s="169">
        <v>69.268000000000001</v>
      </c>
      <c r="H59" s="169">
        <v>80.391999999999996</v>
      </c>
    </row>
    <row r="60" spans="1:8" x14ac:dyDescent="0.2">
      <c r="A60" t="s">
        <v>139</v>
      </c>
      <c r="B60" s="1">
        <v>15134970</v>
      </c>
      <c r="C60" s="136" t="s">
        <v>441</v>
      </c>
      <c r="D60" s="136" t="s">
        <v>442</v>
      </c>
      <c r="F60" s="169">
        <v>30</v>
      </c>
      <c r="G60" s="169">
        <v>8</v>
      </c>
      <c r="H60" s="169">
        <v>98.039000000000001</v>
      </c>
    </row>
    <row r="61" spans="1:8" x14ac:dyDescent="0.2">
      <c r="A61" t="s">
        <v>69</v>
      </c>
      <c r="B61" s="1">
        <v>12903679</v>
      </c>
      <c r="C61" s="68" t="s">
        <v>305</v>
      </c>
      <c r="D61" s="68" t="s">
        <v>306</v>
      </c>
      <c r="F61" s="169">
        <v>32.542000000000002</v>
      </c>
      <c r="G61" s="169">
        <v>23.137</v>
      </c>
      <c r="H61" s="169">
        <v>100</v>
      </c>
    </row>
    <row r="62" spans="1:8" x14ac:dyDescent="0.2">
      <c r="A62" t="s">
        <v>41</v>
      </c>
      <c r="B62" s="1">
        <v>36095</v>
      </c>
      <c r="C62" s="40" t="s">
        <v>249</v>
      </c>
      <c r="D62" s="40" t="s">
        <v>250</v>
      </c>
      <c r="F62" s="169">
        <v>32.941000000000003</v>
      </c>
      <c r="G62" s="169">
        <v>100</v>
      </c>
      <c r="H62" s="169">
        <v>100</v>
      </c>
    </row>
    <row r="63" spans="1:8" x14ac:dyDescent="0.2">
      <c r="A63" t="s">
        <v>66</v>
      </c>
      <c r="B63" s="1">
        <v>8894686</v>
      </c>
      <c r="C63" s="65" t="s">
        <v>299</v>
      </c>
      <c r="D63" s="65" t="s">
        <v>300</v>
      </c>
      <c r="F63" s="169">
        <v>33.792999999999999</v>
      </c>
      <c r="G63" s="169">
        <v>39.189</v>
      </c>
      <c r="H63" s="169">
        <v>87.058999999999997</v>
      </c>
    </row>
    <row r="64" spans="1:8" x14ac:dyDescent="0.2">
      <c r="A64" t="s">
        <v>138</v>
      </c>
      <c r="B64" s="1">
        <v>14150650</v>
      </c>
      <c r="C64" s="135" t="s">
        <v>439</v>
      </c>
      <c r="D64" s="135" t="s">
        <v>440</v>
      </c>
      <c r="F64" s="169">
        <v>34.286000000000001</v>
      </c>
      <c r="G64" s="169">
        <v>14</v>
      </c>
      <c r="H64" s="169">
        <v>98.039000000000001</v>
      </c>
    </row>
    <row r="65" spans="1:8" x14ac:dyDescent="0.2">
      <c r="A65" t="s">
        <v>65</v>
      </c>
      <c r="B65" s="1">
        <v>9221330</v>
      </c>
      <c r="C65" s="64" t="s">
        <v>297</v>
      </c>
      <c r="D65" s="64" t="s">
        <v>298</v>
      </c>
      <c r="F65" s="169">
        <v>34.286000000000001</v>
      </c>
      <c r="G65" s="169">
        <v>33.332999999999998</v>
      </c>
      <c r="H65" s="169">
        <v>82.352999999999994</v>
      </c>
    </row>
    <row r="66" spans="1:8" x14ac:dyDescent="0.2">
      <c r="A66" t="s">
        <v>68</v>
      </c>
      <c r="B66" s="1">
        <v>11394815</v>
      </c>
      <c r="C66" s="67" t="s">
        <v>303</v>
      </c>
      <c r="D66" s="67" t="s">
        <v>304</v>
      </c>
      <c r="F66" s="169">
        <v>35.853999999999999</v>
      </c>
      <c r="G66" s="169">
        <v>32.156999999999996</v>
      </c>
      <c r="H66" s="169">
        <v>100</v>
      </c>
    </row>
    <row r="67" spans="1:8" x14ac:dyDescent="0.2">
      <c r="A67" t="s">
        <v>70</v>
      </c>
      <c r="B67" s="1">
        <v>13495295</v>
      </c>
      <c r="C67" s="69" t="s">
        <v>307</v>
      </c>
      <c r="D67" s="69" t="s">
        <v>308</v>
      </c>
      <c r="F67" s="169">
        <v>36</v>
      </c>
      <c r="G67" s="169">
        <v>19.608000000000001</v>
      </c>
      <c r="H67" s="169">
        <v>100</v>
      </c>
    </row>
    <row r="68" spans="1:8" x14ac:dyDescent="0.2">
      <c r="A68" t="s">
        <v>51</v>
      </c>
      <c r="B68" s="1">
        <v>14020607</v>
      </c>
      <c r="C68" s="50" t="s">
        <v>269</v>
      </c>
      <c r="D68" s="50" t="s">
        <v>270</v>
      </c>
      <c r="F68" s="169">
        <v>37.143000000000001</v>
      </c>
      <c r="G68" s="169">
        <v>16.471</v>
      </c>
      <c r="H68" s="169">
        <v>100</v>
      </c>
    </row>
    <row r="69" spans="1:8" x14ac:dyDescent="0.2">
      <c r="A69" t="s">
        <v>50</v>
      </c>
      <c r="B69" s="1">
        <v>11920639</v>
      </c>
      <c r="C69" s="49" t="s">
        <v>267</v>
      </c>
      <c r="D69" s="49" t="s">
        <v>268</v>
      </c>
      <c r="F69" s="169">
        <v>38.107999999999997</v>
      </c>
      <c r="G69" s="169">
        <v>29.02</v>
      </c>
      <c r="H69" s="169">
        <v>100</v>
      </c>
    </row>
    <row r="70" spans="1:8" x14ac:dyDescent="0.2">
      <c r="A70" t="s">
        <v>43</v>
      </c>
      <c r="B70" s="1">
        <v>42495</v>
      </c>
      <c r="C70" s="42" t="s">
        <v>253</v>
      </c>
      <c r="D70" s="42" t="s">
        <v>254</v>
      </c>
      <c r="F70" s="169">
        <v>38.823999999999998</v>
      </c>
      <c r="G70" s="169">
        <v>100</v>
      </c>
      <c r="H70" s="169">
        <v>100</v>
      </c>
    </row>
    <row r="71" spans="1:8" x14ac:dyDescent="0.2">
      <c r="A71" t="s">
        <v>67</v>
      </c>
      <c r="B71" s="1">
        <v>11788021</v>
      </c>
      <c r="C71" s="66" t="s">
        <v>301</v>
      </c>
      <c r="D71" s="66" t="s">
        <v>302</v>
      </c>
      <c r="F71" s="169">
        <v>39.091000000000001</v>
      </c>
      <c r="G71" s="169">
        <v>26.939</v>
      </c>
      <c r="H71" s="169">
        <v>96.078000000000003</v>
      </c>
    </row>
    <row r="72" spans="1:8" x14ac:dyDescent="0.2">
      <c r="A72" t="s">
        <v>143</v>
      </c>
      <c r="B72" s="1">
        <v>15136253</v>
      </c>
      <c r="C72" s="140" t="s">
        <v>449</v>
      </c>
      <c r="D72" s="140" t="s">
        <v>450</v>
      </c>
      <c r="F72" s="169">
        <v>39.130000000000003</v>
      </c>
      <c r="G72" s="169">
        <v>9.0909999999999993</v>
      </c>
      <c r="H72" s="169">
        <v>99.215999999999994</v>
      </c>
    </row>
    <row r="73" spans="1:8" x14ac:dyDescent="0.2">
      <c r="A73" t="s">
        <v>148</v>
      </c>
      <c r="B73" s="1">
        <v>15792895</v>
      </c>
      <c r="C73" s="145" t="s">
        <v>459</v>
      </c>
      <c r="D73" s="145" t="s">
        <v>460</v>
      </c>
      <c r="F73" s="169">
        <v>40</v>
      </c>
      <c r="G73" s="169">
        <v>5.8819999999999997</v>
      </c>
      <c r="H73" s="169">
        <v>100</v>
      </c>
    </row>
    <row r="74" spans="1:8" x14ac:dyDescent="0.2">
      <c r="A74" t="s">
        <v>60</v>
      </c>
      <c r="B74" s="1">
        <v>755384</v>
      </c>
      <c r="C74" s="59" t="s">
        <v>287</v>
      </c>
      <c r="D74" s="59" t="s">
        <v>288</v>
      </c>
      <c r="F74" s="169">
        <v>42.658999999999999</v>
      </c>
      <c r="G74" s="169">
        <v>94.022000000000006</v>
      </c>
      <c r="H74" s="169">
        <v>72.156999999999996</v>
      </c>
    </row>
    <row r="75" spans="1:8" x14ac:dyDescent="0.2">
      <c r="A75" t="s">
        <v>63</v>
      </c>
      <c r="B75" s="1">
        <v>2139610</v>
      </c>
      <c r="C75" s="62" t="s">
        <v>293</v>
      </c>
      <c r="D75" s="62" t="s">
        <v>294</v>
      </c>
      <c r="F75" s="169">
        <v>42.902999999999999</v>
      </c>
      <c r="G75" s="169">
        <v>85.320999999999998</v>
      </c>
      <c r="H75" s="169">
        <v>85.49</v>
      </c>
    </row>
    <row r="76" spans="1:8" x14ac:dyDescent="0.2">
      <c r="A76" t="s">
        <v>71</v>
      </c>
      <c r="B76" s="1">
        <v>14481663</v>
      </c>
      <c r="C76" s="70" t="s">
        <v>309</v>
      </c>
      <c r="D76" s="70" t="s">
        <v>310</v>
      </c>
      <c r="F76" s="169">
        <v>48</v>
      </c>
      <c r="G76" s="169">
        <v>13.725</v>
      </c>
      <c r="H76" s="169">
        <v>100</v>
      </c>
    </row>
    <row r="77" spans="1:8" x14ac:dyDescent="0.2">
      <c r="A77" t="s">
        <v>45</v>
      </c>
      <c r="B77" s="1">
        <v>55295</v>
      </c>
      <c r="C77" s="44" t="s">
        <v>257</v>
      </c>
      <c r="D77" s="44" t="s">
        <v>258</v>
      </c>
      <c r="F77" s="169">
        <v>50.588000000000001</v>
      </c>
      <c r="G77" s="169">
        <v>100</v>
      </c>
      <c r="H77" s="169">
        <v>100</v>
      </c>
    </row>
    <row r="78" spans="1:8" x14ac:dyDescent="0.2">
      <c r="A78" t="s">
        <v>53</v>
      </c>
      <c r="B78" s="1">
        <v>13499135</v>
      </c>
      <c r="C78" s="52" t="s">
        <v>273</v>
      </c>
      <c r="D78" s="52" t="s">
        <v>274</v>
      </c>
      <c r="F78" s="169">
        <v>54</v>
      </c>
      <c r="G78" s="169">
        <v>19.608000000000001</v>
      </c>
      <c r="H78" s="169">
        <v>100</v>
      </c>
    </row>
    <row r="79" spans="1:8" x14ac:dyDescent="0.2">
      <c r="A79" t="s">
        <v>46</v>
      </c>
      <c r="B79" s="1">
        <v>9234160</v>
      </c>
      <c r="C79" s="45" t="s">
        <v>259</v>
      </c>
      <c r="D79" s="45" t="s">
        <v>260</v>
      </c>
      <c r="F79" s="169">
        <v>54</v>
      </c>
      <c r="G79" s="169">
        <v>41.667000000000002</v>
      </c>
      <c r="H79" s="169">
        <v>94.117999999999995</v>
      </c>
    </row>
    <row r="80" spans="1:8" x14ac:dyDescent="0.2">
      <c r="A80" t="s">
        <v>49</v>
      </c>
      <c r="B80" s="1">
        <v>11200750</v>
      </c>
      <c r="C80" s="48" t="s">
        <v>265</v>
      </c>
      <c r="D80" s="48" t="s">
        <v>266</v>
      </c>
      <c r="F80" s="169">
        <v>54.706000000000003</v>
      </c>
      <c r="G80" s="169">
        <v>28.571000000000002</v>
      </c>
      <c r="H80" s="169">
        <v>93.332999999999998</v>
      </c>
    </row>
    <row r="81" spans="1:8" x14ac:dyDescent="0.2">
      <c r="A81" t="s">
        <v>44</v>
      </c>
      <c r="B81" s="1">
        <v>7059389</v>
      </c>
      <c r="C81" s="43" t="s">
        <v>255</v>
      </c>
      <c r="D81" s="43" t="s">
        <v>256</v>
      </c>
      <c r="F81" s="169">
        <v>55.61</v>
      </c>
      <c r="G81" s="169">
        <v>43.386000000000003</v>
      </c>
      <c r="H81" s="169">
        <v>74.117999999999995</v>
      </c>
    </row>
    <row r="82" spans="1:8" x14ac:dyDescent="0.2">
      <c r="A82" t="s">
        <v>152</v>
      </c>
      <c r="B82" s="1">
        <v>15794175</v>
      </c>
      <c r="C82" s="149" t="s">
        <v>467</v>
      </c>
      <c r="D82" s="149" t="s">
        <v>468</v>
      </c>
      <c r="F82" s="169">
        <v>60</v>
      </c>
      <c r="G82" s="169">
        <v>5.8819999999999997</v>
      </c>
      <c r="H82" s="169">
        <v>100</v>
      </c>
    </row>
    <row r="83" spans="1:8" x14ac:dyDescent="0.2">
      <c r="A83" t="s">
        <v>140</v>
      </c>
      <c r="B83" s="1">
        <v>14480885</v>
      </c>
      <c r="C83" s="137" t="s">
        <v>443</v>
      </c>
      <c r="D83" s="137" t="s">
        <v>444</v>
      </c>
      <c r="F83" s="169">
        <v>60</v>
      </c>
      <c r="G83" s="169">
        <v>10.204000000000001</v>
      </c>
      <c r="H83" s="169">
        <v>96.078000000000003</v>
      </c>
    </row>
    <row r="84" spans="1:8" x14ac:dyDescent="0.2">
      <c r="A84" t="s">
        <v>54</v>
      </c>
      <c r="B84" s="1">
        <v>14745599</v>
      </c>
      <c r="C84" s="53" t="s">
        <v>275</v>
      </c>
      <c r="D84" s="53" t="s">
        <v>276</v>
      </c>
      <c r="F84" s="169">
        <v>60</v>
      </c>
      <c r="G84" s="169">
        <v>12.157</v>
      </c>
      <c r="H84" s="169">
        <v>100</v>
      </c>
    </row>
    <row r="85" spans="1:8" x14ac:dyDescent="0.2">
      <c r="A85" t="s">
        <v>52</v>
      </c>
      <c r="B85" s="1">
        <v>13826810</v>
      </c>
      <c r="C85" s="51" t="s">
        <v>271</v>
      </c>
      <c r="D85" s="51" t="s">
        <v>272</v>
      </c>
      <c r="F85" s="169">
        <v>60</v>
      </c>
      <c r="G85" s="169">
        <v>16</v>
      </c>
      <c r="H85" s="169">
        <v>98.039000000000001</v>
      </c>
    </row>
    <row r="86" spans="1:8" x14ac:dyDescent="0.2">
      <c r="A86" t="s">
        <v>122</v>
      </c>
      <c r="B86" s="1">
        <v>32896</v>
      </c>
      <c r="C86" s="119" t="s">
        <v>407</v>
      </c>
      <c r="D86" s="119" t="s">
        <v>408</v>
      </c>
      <c r="F86" s="169">
        <v>60</v>
      </c>
      <c r="G86" s="169">
        <v>100</v>
      </c>
      <c r="H86" s="169">
        <v>50.195999999999998</v>
      </c>
    </row>
    <row r="87" spans="1:8" x14ac:dyDescent="0.2">
      <c r="A87" t="s">
        <v>48</v>
      </c>
      <c r="B87" s="1">
        <v>65535</v>
      </c>
      <c r="C87" s="47" t="s">
        <v>263</v>
      </c>
      <c r="D87" s="47" t="s">
        <v>264</v>
      </c>
      <c r="F87" s="169">
        <v>60</v>
      </c>
      <c r="G87" s="169">
        <v>100</v>
      </c>
      <c r="H87" s="169">
        <v>100</v>
      </c>
    </row>
    <row r="88" spans="1:8" x14ac:dyDescent="0.2">
      <c r="A88" t="s">
        <v>123</v>
      </c>
      <c r="B88" s="1">
        <v>2330219</v>
      </c>
      <c r="C88" s="120" t="s">
        <v>409</v>
      </c>
      <c r="D88" s="120" t="s">
        <v>410</v>
      </c>
      <c r="F88" s="169">
        <v>79.626000000000005</v>
      </c>
      <c r="G88" s="169">
        <v>75.352000000000004</v>
      </c>
      <c r="H88" s="169">
        <v>55.686</v>
      </c>
    </row>
    <row r="89" spans="1:8" x14ac:dyDescent="0.2">
      <c r="A89" t="s">
        <v>131</v>
      </c>
      <c r="B89" s="1">
        <v>3329434</v>
      </c>
      <c r="C89" s="128" t="s">
        <v>425</v>
      </c>
      <c r="D89" s="128" t="s">
        <v>426</v>
      </c>
      <c r="F89" s="169">
        <v>79.742000000000004</v>
      </c>
      <c r="G89" s="169">
        <v>75.61</v>
      </c>
      <c r="H89" s="169">
        <v>80.391999999999996</v>
      </c>
    </row>
    <row r="90" spans="1:8" x14ac:dyDescent="0.2">
      <c r="A90" t="s">
        <v>119</v>
      </c>
      <c r="B90" s="1">
        <v>3107669</v>
      </c>
      <c r="C90" s="116" t="s">
        <v>401</v>
      </c>
      <c r="D90" s="116" t="s">
        <v>402</v>
      </c>
      <c r="F90" s="169">
        <v>82</v>
      </c>
      <c r="G90" s="169">
        <v>56.075000000000003</v>
      </c>
      <c r="H90" s="169">
        <v>41.960999999999999</v>
      </c>
    </row>
    <row r="91" spans="1:8" x14ac:dyDescent="0.2">
      <c r="A91" t="s">
        <v>135</v>
      </c>
      <c r="B91" s="1">
        <v>3145645</v>
      </c>
      <c r="C91" s="132" t="s">
        <v>433</v>
      </c>
      <c r="D91" s="132" t="s">
        <v>434</v>
      </c>
      <c r="F91" s="169">
        <v>83.653999999999996</v>
      </c>
      <c r="G91" s="169">
        <v>81.569000000000003</v>
      </c>
      <c r="H91" s="169">
        <v>100</v>
      </c>
    </row>
    <row r="92" spans="1:8" x14ac:dyDescent="0.2">
      <c r="A92" t="s">
        <v>133</v>
      </c>
      <c r="B92" s="1">
        <v>65407</v>
      </c>
      <c r="C92" s="130" t="s">
        <v>429</v>
      </c>
      <c r="D92" s="130" t="s">
        <v>430</v>
      </c>
      <c r="F92" s="169">
        <v>90.117999999999995</v>
      </c>
      <c r="G92" s="169">
        <v>100</v>
      </c>
      <c r="H92" s="169">
        <v>100</v>
      </c>
    </row>
    <row r="93" spans="1:8" x14ac:dyDescent="0.2">
      <c r="A93" t="s">
        <v>132</v>
      </c>
      <c r="B93" s="1">
        <v>64636</v>
      </c>
      <c r="C93" s="129" t="s">
        <v>427</v>
      </c>
      <c r="D93" s="129" t="s">
        <v>428</v>
      </c>
      <c r="F93" s="169">
        <v>90.475999999999999</v>
      </c>
      <c r="G93" s="169">
        <v>100</v>
      </c>
      <c r="H93" s="169">
        <v>98.823999999999998</v>
      </c>
    </row>
    <row r="94" spans="1:8" x14ac:dyDescent="0.2">
      <c r="A94" t="s">
        <v>147</v>
      </c>
      <c r="B94" s="1">
        <v>15794160</v>
      </c>
      <c r="C94" s="144" t="s">
        <v>457</v>
      </c>
      <c r="D94" s="144" t="s">
        <v>458</v>
      </c>
      <c r="F94" s="169">
        <v>120</v>
      </c>
      <c r="G94" s="169">
        <v>5.8819999999999997</v>
      </c>
      <c r="H94" s="169">
        <v>100</v>
      </c>
    </row>
    <row r="95" spans="1:8" x14ac:dyDescent="0.2">
      <c r="A95" t="s">
        <v>129</v>
      </c>
      <c r="B95" s="1">
        <v>9419919</v>
      </c>
      <c r="C95" s="126" t="s">
        <v>421</v>
      </c>
      <c r="D95" s="126" t="s">
        <v>422</v>
      </c>
      <c r="F95" s="169">
        <v>120</v>
      </c>
      <c r="G95" s="169">
        <v>23.936</v>
      </c>
      <c r="H95" s="169">
        <v>73.724999999999994</v>
      </c>
    </row>
    <row r="96" spans="1:8" x14ac:dyDescent="0.2">
      <c r="A96" t="s">
        <v>136</v>
      </c>
      <c r="B96" s="1">
        <v>10025880</v>
      </c>
      <c r="C96" s="133" t="s">
        <v>435</v>
      </c>
      <c r="D96" s="133" t="s">
        <v>436</v>
      </c>
      <c r="F96" s="169">
        <v>120</v>
      </c>
      <c r="G96" s="169">
        <v>39.442</v>
      </c>
      <c r="H96" s="169">
        <v>98.430999999999997</v>
      </c>
    </row>
    <row r="97" spans="1:8" x14ac:dyDescent="0.2">
      <c r="A97" t="s">
        <v>134</v>
      </c>
      <c r="B97" s="1">
        <v>9498256</v>
      </c>
      <c r="C97" s="131" t="s">
        <v>431</v>
      </c>
      <c r="D97" s="131" t="s">
        <v>432</v>
      </c>
      <c r="F97" s="169">
        <v>120</v>
      </c>
      <c r="G97" s="169">
        <v>39.496000000000002</v>
      </c>
      <c r="H97" s="169">
        <v>93.332999999999998</v>
      </c>
    </row>
    <row r="98" spans="1:8" x14ac:dyDescent="0.2">
      <c r="A98" t="s">
        <v>120</v>
      </c>
      <c r="B98" s="1">
        <v>2263842</v>
      </c>
      <c r="C98" s="117" t="s">
        <v>403</v>
      </c>
      <c r="D98" s="117" t="s">
        <v>404</v>
      </c>
      <c r="F98" s="169">
        <v>120</v>
      </c>
      <c r="G98" s="169">
        <v>75.540000000000006</v>
      </c>
      <c r="H98" s="169">
        <v>54.51</v>
      </c>
    </row>
    <row r="99" spans="1:8" x14ac:dyDescent="0.2">
      <c r="A99" t="s">
        <v>125</v>
      </c>
      <c r="B99" s="1">
        <v>3329330</v>
      </c>
      <c r="C99" s="122" t="s">
        <v>413</v>
      </c>
      <c r="D99" s="122" t="s">
        <v>414</v>
      </c>
      <c r="F99" s="169">
        <v>120</v>
      </c>
      <c r="G99" s="169">
        <v>75.61</v>
      </c>
      <c r="H99" s="169">
        <v>80.391999999999996</v>
      </c>
    </row>
    <row r="100" spans="1:8" x14ac:dyDescent="0.2">
      <c r="A100" t="s">
        <v>117</v>
      </c>
      <c r="B100" s="1">
        <v>25600</v>
      </c>
      <c r="C100" s="114" t="s">
        <v>397</v>
      </c>
      <c r="D100" s="114" t="s">
        <v>398</v>
      </c>
      <c r="F100" s="169">
        <v>120</v>
      </c>
      <c r="G100" s="169">
        <v>100</v>
      </c>
      <c r="H100" s="169">
        <v>39.216000000000001</v>
      </c>
    </row>
    <row r="101" spans="1:8" x14ac:dyDescent="0.2">
      <c r="A101" t="s">
        <v>118</v>
      </c>
      <c r="B101" s="1">
        <v>32768</v>
      </c>
      <c r="C101" s="115" t="s">
        <v>399</v>
      </c>
      <c r="D101" s="115" t="s">
        <v>400</v>
      </c>
      <c r="F101" s="169">
        <v>120</v>
      </c>
      <c r="G101" s="169">
        <v>100</v>
      </c>
      <c r="H101" s="169">
        <v>50.195999999999998</v>
      </c>
    </row>
    <row r="102" spans="1:8" x14ac:dyDescent="0.2">
      <c r="A102" t="s">
        <v>126</v>
      </c>
      <c r="B102" s="1">
        <v>65280</v>
      </c>
      <c r="C102" s="123" t="s">
        <v>415</v>
      </c>
      <c r="D102" s="123" t="s">
        <v>416</v>
      </c>
      <c r="F102" s="169">
        <v>120</v>
      </c>
      <c r="G102" s="169">
        <v>100</v>
      </c>
      <c r="H102" s="169">
        <v>100</v>
      </c>
    </row>
    <row r="103" spans="1:8" x14ac:dyDescent="0.2">
      <c r="A103" t="s">
        <v>121</v>
      </c>
      <c r="B103" s="1">
        <v>5737262</v>
      </c>
      <c r="C103" s="118" t="s">
        <v>405</v>
      </c>
      <c r="D103" s="118" t="s">
        <v>406</v>
      </c>
      <c r="F103" s="169">
        <v>146.452</v>
      </c>
      <c r="G103" s="169">
        <v>66.906000000000006</v>
      </c>
      <c r="H103" s="169">
        <v>54.51</v>
      </c>
    </row>
    <row r="104" spans="1:8" x14ac:dyDescent="0.2">
      <c r="A104" t="s">
        <v>124</v>
      </c>
      <c r="B104" s="1">
        <v>7451452</v>
      </c>
      <c r="C104" s="121" t="s">
        <v>411</v>
      </c>
      <c r="D104" s="121" t="s">
        <v>412</v>
      </c>
      <c r="F104" s="169">
        <v>146.72300000000001</v>
      </c>
      <c r="G104" s="169">
        <v>66.48</v>
      </c>
      <c r="H104" s="169">
        <v>70.195999999999998</v>
      </c>
    </row>
    <row r="105" spans="1:8" x14ac:dyDescent="0.2">
      <c r="A105" t="s">
        <v>127</v>
      </c>
      <c r="B105" s="1">
        <v>8388352</v>
      </c>
      <c r="C105" s="124" t="s">
        <v>417</v>
      </c>
      <c r="D105" s="124" t="s">
        <v>418</v>
      </c>
      <c r="F105" s="169">
        <v>149.88200000000001</v>
      </c>
      <c r="G105" s="169">
        <v>100</v>
      </c>
      <c r="H105" s="169">
        <v>100</v>
      </c>
    </row>
    <row r="106" spans="1:8" x14ac:dyDescent="0.2">
      <c r="A106" t="s">
        <v>150</v>
      </c>
      <c r="B106" s="1">
        <v>16449525</v>
      </c>
      <c r="C106" s="147" t="s">
        <v>463</v>
      </c>
      <c r="D106" s="147" t="s">
        <v>464</v>
      </c>
      <c r="F106" s="169">
        <v>150</v>
      </c>
      <c r="G106" s="169">
        <v>3.9220000000000002</v>
      </c>
      <c r="H106" s="169">
        <v>100</v>
      </c>
    </row>
    <row r="107" spans="1:8" x14ac:dyDescent="0.2">
      <c r="A107" t="s">
        <v>128</v>
      </c>
      <c r="B107" s="1">
        <v>10156544</v>
      </c>
      <c r="C107" s="125" t="s">
        <v>419</v>
      </c>
      <c r="D107" s="125" t="s">
        <v>420</v>
      </c>
      <c r="F107" s="169">
        <v>156.96</v>
      </c>
      <c r="G107" s="169">
        <v>100</v>
      </c>
      <c r="H107" s="169">
        <v>98.039000000000001</v>
      </c>
    </row>
    <row r="108" spans="1:8" x14ac:dyDescent="0.2">
      <c r="A108" t="s">
        <v>130</v>
      </c>
      <c r="B108" s="1">
        <v>11193702</v>
      </c>
      <c r="C108" s="127" t="s">
        <v>423</v>
      </c>
      <c r="D108" s="127" t="s">
        <v>424</v>
      </c>
      <c r="F108" s="169">
        <v>159.61199999999999</v>
      </c>
      <c r="G108" s="169">
        <v>50.244</v>
      </c>
      <c r="H108" s="169">
        <v>80.391999999999996</v>
      </c>
    </row>
    <row r="109" spans="1:8" x14ac:dyDescent="0.2">
      <c r="A109" t="s">
        <v>114</v>
      </c>
      <c r="B109" s="1">
        <v>13959039</v>
      </c>
      <c r="C109" s="111" t="s">
        <v>391</v>
      </c>
      <c r="D109" s="111" t="s">
        <v>392</v>
      </c>
      <c r="F109" s="169">
        <v>159.84399999999999</v>
      </c>
      <c r="G109" s="169">
        <v>50.195999999999998</v>
      </c>
      <c r="H109" s="169">
        <v>100</v>
      </c>
    </row>
    <row r="110" spans="1:8" x14ac:dyDescent="0.2">
      <c r="A110" t="s">
        <v>111</v>
      </c>
      <c r="B110" s="1">
        <v>13688896</v>
      </c>
      <c r="C110" s="109" t="s">
        <v>387</v>
      </c>
      <c r="D110" s="109" t="s">
        <v>388</v>
      </c>
      <c r="F110" s="169">
        <v>174</v>
      </c>
      <c r="G110" s="169">
        <v>71.429000000000002</v>
      </c>
      <c r="H110" s="169">
        <v>87.843000000000004</v>
      </c>
    </row>
    <row r="111" spans="1:8" x14ac:dyDescent="0.2">
      <c r="A111" t="s">
        <v>107</v>
      </c>
      <c r="B111" s="1">
        <v>11186720</v>
      </c>
      <c r="C111" s="105" t="s">
        <v>379</v>
      </c>
      <c r="D111" s="105" t="s">
        <v>380</v>
      </c>
      <c r="F111" s="169">
        <v>176.71199999999999</v>
      </c>
      <c r="G111" s="169">
        <v>82.022000000000006</v>
      </c>
      <c r="H111" s="169">
        <v>69.804000000000002</v>
      </c>
    </row>
    <row r="112" spans="1:8" x14ac:dyDescent="0.2">
      <c r="A112" t="s">
        <v>110</v>
      </c>
      <c r="B112" s="1">
        <v>13422920</v>
      </c>
      <c r="C112" s="108" t="s">
        <v>385</v>
      </c>
      <c r="D112" s="108" t="s">
        <v>386</v>
      </c>
      <c r="F112" s="169">
        <v>177.81</v>
      </c>
      <c r="G112" s="169">
        <v>65.55</v>
      </c>
      <c r="H112" s="169">
        <v>81.960999999999999</v>
      </c>
    </row>
    <row r="113" spans="1:8" x14ac:dyDescent="0.2">
      <c r="A113" t="s">
        <v>149</v>
      </c>
      <c r="B113" s="1">
        <v>16777200</v>
      </c>
      <c r="C113" s="146" t="s">
        <v>461</v>
      </c>
      <c r="D113" s="146" t="s">
        <v>462</v>
      </c>
      <c r="F113" s="169">
        <v>180</v>
      </c>
      <c r="G113" s="169">
        <v>5.8819999999999997</v>
      </c>
      <c r="H113" s="169">
        <v>100</v>
      </c>
    </row>
    <row r="114" spans="1:8" x14ac:dyDescent="0.2">
      <c r="A114" t="s">
        <v>116</v>
      </c>
      <c r="B114" s="1">
        <v>16777184</v>
      </c>
      <c r="C114" s="113" t="s">
        <v>395</v>
      </c>
      <c r="D114" s="113" t="s">
        <v>396</v>
      </c>
      <c r="F114" s="169">
        <v>180</v>
      </c>
      <c r="G114" s="169">
        <v>12.157</v>
      </c>
      <c r="H114" s="169">
        <v>100</v>
      </c>
    </row>
    <row r="115" spans="1:8" x14ac:dyDescent="0.2">
      <c r="A115" t="s">
        <v>115</v>
      </c>
      <c r="B115" s="1">
        <v>15658671</v>
      </c>
      <c r="C115" s="112" t="s">
        <v>393</v>
      </c>
      <c r="D115" s="112" t="s">
        <v>394</v>
      </c>
      <c r="F115" s="169">
        <v>180</v>
      </c>
      <c r="G115" s="169">
        <v>26.471</v>
      </c>
      <c r="H115" s="169">
        <v>93.332999999999998</v>
      </c>
    </row>
    <row r="116" spans="1:8" x14ac:dyDescent="0.2">
      <c r="A116" t="s">
        <v>155</v>
      </c>
      <c r="B116" s="1">
        <v>5197615</v>
      </c>
      <c r="C116" s="152" t="s">
        <v>473</v>
      </c>
      <c r="D116" s="152" t="s">
        <v>474</v>
      </c>
      <c r="F116" s="169">
        <v>180</v>
      </c>
      <c r="G116" s="169">
        <v>40.506</v>
      </c>
      <c r="H116" s="169">
        <v>30.98</v>
      </c>
    </row>
    <row r="117" spans="1:8" x14ac:dyDescent="0.2">
      <c r="A117" t="s">
        <v>105</v>
      </c>
      <c r="B117" s="1">
        <v>8421376</v>
      </c>
      <c r="C117" s="103" t="s">
        <v>375</v>
      </c>
      <c r="D117" s="103" t="s">
        <v>376</v>
      </c>
      <c r="F117" s="169">
        <v>180</v>
      </c>
      <c r="G117" s="169">
        <v>100</v>
      </c>
      <c r="H117" s="169">
        <v>50.195999999999998</v>
      </c>
    </row>
    <row r="118" spans="1:8" x14ac:dyDescent="0.2">
      <c r="A118" t="s">
        <v>106</v>
      </c>
      <c r="B118" s="1">
        <v>9145088</v>
      </c>
      <c r="C118" s="104" t="s">
        <v>377</v>
      </c>
      <c r="D118" s="104" t="s">
        <v>378</v>
      </c>
      <c r="F118" s="169">
        <v>180</v>
      </c>
      <c r="G118" s="169">
        <v>100</v>
      </c>
      <c r="H118" s="169">
        <v>54.51</v>
      </c>
    </row>
    <row r="119" spans="1:8" x14ac:dyDescent="0.2">
      <c r="A119" t="s">
        <v>112</v>
      </c>
      <c r="B119" s="1">
        <v>16776960</v>
      </c>
      <c r="C119" s="110" t="s">
        <v>389</v>
      </c>
      <c r="D119" s="110" t="s">
        <v>390</v>
      </c>
      <c r="F119" s="169">
        <v>180</v>
      </c>
      <c r="G119" s="169">
        <v>100</v>
      </c>
      <c r="H119" s="169">
        <v>100</v>
      </c>
    </row>
    <row r="120" spans="1:8" x14ac:dyDescent="0.2">
      <c r="A120" t="s">
        <v>113</v>
      </c>
      <c r="B120" s="1">
        <v>16776960</v>
      </c>
      <c r="C120" s="110" t="s">
        <v>389</v>
      </c>
      <c r="D120" s="110" t="s">
        <v>390</v>
      </c>
      <c r="F120" s="169">
        <v>180</v>
      </c>
      <c r="G120" s="169">
        <v>100</v>
      </c>
      <c r="H120" s="169">
        <v>100</v>
      </c>
    </row>
    <row r="121" spans="1:8" x14ac:dyDescent="0.2">
      <c r="A121" t="s">
        <v>109</v>
      </c>
      <c r="B121" s="1">
        <v>13749760</v>
      </c>
      <c r="C121" s="107" t="s">
        <v>383</v>
      </c>
      <c r="D121" s="107" t="s">
        <v>384</v>
      </c>
      <c r="F121" s="169">
        <v>180.86099999999999</v>
      </c>
      <c r="G121" s="169">
        <v>100</v>
      </c>
      <c r="H121" s="169">
        <v>81.960999999999999</v>
      </c>
    </row>
    <row r="122" spans="1:8" x14ac:dyDescent="0.2">
      <c r="A122" t="s">
        <v>108</v>
      </c>
      <c r="B122" s="1">
        <v>10526303</v>
      </c>
      <c r="C122" s="106" t="s">
        <v>381</v>
      </c>
      <c r="D122" s="106" t="s">
        <v>382</v>
      </c>
      <c r="F122" s="169">
        <v>181.846</v>
      </c>
      <c r="G122" s="169">
        <v>40.625</v>
      </c>
      <c r="H122" s="169">
        <v>62.744999999999997</v>
      </c>
    </row>
    <row r="123" spans="1:8" x14ac:dyDescent="0.2">
      <c r="A123" t="s">
        <v>104</v>
      </c>
      <c r="B123" s="1">
        <v>15130800</v>
      </c>
      <c r="C123" s="102" t="s">
        <v>373</v>
      </c>
      <c r="D123" s="102" t="s">
        <v>374</v>
      </c>
      <c r="F123" s="169">
        <v>186.667</v>
      </c>
      <c r="G123" s="169">
        <v>23.478000000000002</v>
      </c>
      <c r="H123" s="169">
        <v>90.195999999999998</v>
      </c>
    </row>
    <row r="124" spans="1:8" x14ac:dyDescent="0.2">
      <c r="A124" t="s">
        <v>103</v>
      </c>
      <c r="B124" s="1">
        <v>15128749</v>
      </c>
      <c r="C124" s="101" t="s">
        <v>371</v>
      </c>
      <c r="D124" s="101" t="s">
        <v>372</v>
      </c>
      <c r="F124" s="169">
        <v>194.73699999999999</v>
      </c>
      <c r="G124" s="169">
        <v>24.783000000000001</v>
      </c>
      <c r="H124" s="169">
        <v>90.195999999999998</v>
      </c>
    </row>
    <row r="125" spans="1:8" x14ac:dyDescent="0.2">
      <c r="A125" t="s">
        <v>98</v>
      </c>
      <c r="B125" s="1">
        <v>16760576</v>
      </c>
      <c r="C125" s="96" t="s">
        <v>361</v>
      </c>
      <c r="D125" s="96" t="s">
        <v>362</v>
      </c>
      <c r="F125" s="169">
        <v>195.059</v>
      </c>
      <c r="G125" s="169">
        <v>100</v>
      </c>
      <c r="H125" s="169">
        <v>100</v>
      </c>
    </row>
    <row r="126" spans="1:8" x14ac:dyDescent="0.2">
      <c r="A126" t="s">
        <v>100</v>
      </c>
      <c r="B126" s="1">
        <v>15453831</v>
      </c>
      <c r="C126" s="98" t="s">
        <v>365</v>
      </c>
      <c r="D126" s="98" t="s">
        <v>366</v>
      </c>
      <c r="F126" s="169">
        <v>197.4</v>
      </c>
      <c r="G126" s="169">
        <v>42.552999999999997</v>
      </c>
      <c r="H126" s="169">
        <v>92.156999999999996</v>
      </c>
    </row>
    <row r="127" spans="1:8" x14ac:dyDescent="0.2">
      <c r="A127" t="s">
        <v>101</v>
      </c>
      <c r="B127" s="1">
        <v>16436871</v>
      </c>
      <c r="C127" s="99" t="s">
        <v>367</v>
      </c>
      <c r="D127" s="99" t="s">
        <v>368</v>
      </c>
      <c r="F127" s="169">
        <v>202.95699999999999</v>
      </c>
      <c r="G127" s="169">
        <v>46</v>
      </c>
      <c r="H127" s="169">
        <v>98.039000000000001</v>
      </c>
    </row>
    <row r="128" spans="1:8" x14ac:dyDescent="0.2">
      <c r="A128" t="s">
        <v>96</v>
      </c>
      <c r="B128" s="1">
        <v>11829830</v>
      </c>
      <c r="C128" s="94" t="s">
        <v>357</v>
      </c>
      <c r="D128" s="94" t="s">
        <v>358</v>
      </c>
      <c r="F128" s="169">
        <v>207.273</v>
      </c>
      <c r="G128" s="169">
        <v>61.110999999999997</v>
      </c>
      <c r="H128" s="169">
        <v>70.587999999999994</v>
      </c>
    </row>
    <row r="129" spans="1:8" x14ac:dyDescent="0.2">
      <c r="A129" t="s">
        <v>144</v>
      </c>
      <c r="B129" s="1">
        <v>16775408</v>
      </c>
      <c r="C129" s="141" t="s">
        <v>451</v>
      </c>
      <c r="D129" s="141" t="s">
        <v>452</v>
      </c>
      <c r="F129" s="169">
        <v>208</v>
      </c>
      <c r="G129" s="169">
        <v>5.8819999999999997</v>
      </c>
      <c r="H129" s="169">
        <v>100</v>
      </c>
    </row>
    <row r="130" spans="1:8" x14ac:dyDescent="0.2">
      <c r="A130" t="s">
        <v>97</v>
      </c>
      <c r="B130" s="1">
        <v>16748574</v>
      </c>
      <c r="C130" s="95" t="s">
        <v>359</v>
      </c>
      <c r="D130" s="95" t="s">
        <v>360</v>
      </c>
      <c r="F130" s="169">
        <v>209.6</v>
      </c>
      <c r="G130" s="169">
        <v>88.234999999999999</v>
      </c>
      <c r="H130" s="169">
        <v>100</v>
      </c>
    </row>
    <row r="131" spans="1:8" x14ac:dyDescent="0.2">
      <c r="A131" t="s">
        <v>157</v>
      </c>
      <c r="B131" s="1">
        <v>9470064</v>
      </c>
      <c r="C131" s="154" t="s">
        <v>477</v>
      </c>
      <c r="D131" s="154" t="s">
        <v>478</v>
      </c>
      <c r="F131" s="169">
        <v>210</v>
      </c>
      <c r="G131" s="169">
        <v>22.222000000000001</v>
      </c>
      <c r="H131" s="169">
        <v>56.470999999999997</v>
      </c>
    </row>
    <row r="132" spans="1:8" x14ac:dyDescent="0.2">
      <c r="A132" t="s">
        <v>159</v>
      </c>
      <c r="B132" s="1">
        <v>10061943</v>
      </c>
      <c r="C132" s="156" t="s">
        <v>481</v>
      </c>
      <c r="D132" s="156" t="s">
        <v>482</v>
      </c>
      <c r="F132" s="169">
        <v>210</v>
      </c>
      <c r="G132" s="169">
        <v>22.222000000000001</v>
      </c>
      <c r="H132" s="169">
        <v>60</v>
      </c>
    </row>
    <row r="133" spans="1:8" x14ac:dyDescent="0.2">
      <c r="A133" t="s">
        <v>102</v>
      </c>
      <c r="B133" s="1">
        <v>14599344</v>
      </c>
      <c r="C133" s="100" t="s">
        <v>369</v>
      </c>
      <c r="D133" s="100" t="s">
        <v>370</v>
      </c>
      <c r="F133" s="169">
        <v>213.91300000000001</v>
      </c>
      <c r="G133" s="169">
        <v>20.721</v>
      </c>
      <c r="H133" s="169">
        <v>87.058999999999997</v>
      </c>
    </row>
    <row r="134" spans="1:8" x14ac:dyDescent="0.2">
      <c r="A134" t="s">
        <v>99</v>
      </c>
      <c r="B134" s="1">
        <v>15570276</v>
      </c>
      <c r="C134" s="97" t="s">
        <v>363</v>
      </c>
      <c r="D134" s="97" t="s">
        <v>364</v>
      </c>
      <c r="F134" s="169">
        <v>218.54</v>
      </c>
      <c r="G134" s="169">
        <v>57.805999999999997</v>
      </c>
      <c r="H134" s="169">
        <v>92.941000000000003</v>
      </c>
    </row>
    <row r="135" spans="1:8" x14ac:dyDescent="0.2">
      <c r="A135" t="s">
        <v>95</v>
      </c>
      <c r="B135" s="1">
        <v>14772545</v>
      </c>
      <c r="C135" s="93" t="s">
        <v>355</v>
      </c>
      <c r="D135" s="93" t="s">
        <v>356</v>
      </c>
      <c r="F135" s="169">
        <v>225</v>
      </c>
      <c r="G135" s="169">
        <v>71.111000000000004</v>
      </c>
      <c r="H135" s="169">
        <v>88.234999999999999</v>
      </c>
    </row>
    <row r="136" spans="1:8" x14ac:dyDescent="0.2">
      <c r="A136" t="s">
        <v>146</v>
      </c>
      <c r="B136" s="1">
        <v>16775416</v>
      </c>
      <c r="C136" s="143" t="s">
        <v>455</v>
      </c>
      <c r="D136" s="143" t="s">
        <v>456</v>
      </c>
      <c r="F136" s="169">
        <v>240</v>
      </c>
      <c r="G136" s="169">
        <v>2.7450000000000001</v>
      </c>
      <c r="H136" s="169">
        <v>100</v>
      </c>
    </row>
    <row r="137" spans="1:8" x14ac:dyDescent="0.2">
      <c r="A137" t="s">
        <v>89</v>
      </c>
      <c r="B137" s="1">
        <v>16443110</v>
      </c>
      <c r="C137" s="87" t="s">
        <v>343</v>
      </c>
      <c r="D137" s="87" t="s">
        <v>344</v>
      </c>
      <c r="F137" s="169">
        <v>240</v>
      </c>
      <c r="G137" s="169">
        <v>8</v>
      </c>
      <c r="H137" s="169">
        <v>98.039000000000001</v>
      </c>
    </row>
    <row r="138" spans="1:8" x14ac:dyDescent="0.2">
      <c r="A138" t="s">
        <v>90</v>
      </c>
      <c r="B138" s="1">
        <v>7346457</v>
      </c>
      <c r="C138" s="88" t="s">
        <v>345</v>
      </c>
      <c r="D138" s="88" t="s">
        <v>346</v>
      </c>
      <c r="F138" s="169">
        <v>240</v>
      </c>
      <c r="G138" s="169">
        <v>77.679000000000002</v>
      </c>
      <c r="H138" s="169">
        <v>43.921999999999997</v>
      </c>
    </row>
    <row r="139" spans="1:8" x14ac:dyDescent="0.2">
      <c r="A139" t="s">
        <v>91</v>
      </c>
      <c r="B139" s="1">
        <v>8388608</v>
      </c>
      <c r="C139" s="89" t="s">
        <v>347</v>
      </c>
      <c r="D139" s="89" t="s">
        <v>348</v>
      </c>
      <c r="F139" s="169">
        <v>240</v>
      </c>
      <c r="G139" s="169">
        <v>100</v>
      </c>
      <c r="H139" s="169">
        <v>50.195999999999998</v>
      </c>
    </row>
    <row r="140" spans="1:8" x14ac:dyDescent="0.2">
      <c r="A140" t="s">
        <v>92</v>
      </c>
      <c r="B140" s="1">
        <v>9109504</v>
      </c>
      <c r="C140" s="90" t="s">
        <v>349</v>
      </c>
      <c r="D140" s="90" t="s">
        <v>350</v>
      </c>
      <c r="F140" s="169">
        <v>240</v>
      </c>
      <c r="G140" s="169">
        <v>100</v>
      </c>
      <c r="H140" s="169">
        <v>54.51</v>
      </c>
    </row>
    <row r="141" spans="1:8" x14ac:dyDescent="0.2">
      <c r="A141" t="s">
        <v>93</v>
      </c>
      <c r="B141" s="1">
        <v>13434880</v>
      </c>
      <c r="C141" s="91" t="s">
        <v>351</v>
      </c>
      <c r="D141" s="91" t="s">
        <v>352</v>
      </c>
      <c r="F141" s="169">
        <v>240</v>
      </c>
      <c r="G141" s="169">
        <v>100</v>
      </c>
      <c r="H141" s="169">
        <v>80.391999999999996</v>
      </c>
    </row>
    <row r="142" spans="1:8" x14ac:dyDescent="0.2">
      <c r="A142" t="s">
        <v>94</v>
      </c>
      <c r="B142" s="1">
        <v>16711680</v>
      </c>
      <c r="C142" s="92" t="s">
        <v>353</v>
      </c>
      <c r="D142" s="92" t="s">
        <v>354</v>
      </c>
      <c r="F142" s="169">
        <v>240</v>
      </c>
      <c r="G142" s="169">
        <v>100</v>
      </c>
      <c r="H142" s="169">
        <v>100</v>
      </c>
    </row>
    <row r="143" spans="1:8" x14ac:dyDescent="0.2">
      <c r="A143" t="s">
        <v>81</v>
      </c>
      <c r="B143" s="1">
        <v>13458026</v>
      </c>
      <c r="C143" s="79" t="s">
        <v>327</v>
      </c>
      <c r="D143" s="79" t="s">
        <v>328</v>
      </c>
      <c r="F143" s="169">
        <v>248.34800000000001</v>
      </c>
      <c r="G143" s="169">
        <v>56.097999999999999</v>
      </c>
      <c r="H143" s="169">
        <v>80.391999999999996</v>
      </c>
    </row>
    <row r="144" spans="1:8" x14ac:dyDescent="0.2">
      <c r="A144" t="s">
        <v>76</v>
      </c>
      <c r="B144" s="1">
        <v>9125192</v>
      </c>
      <c r="C144" s="75" t="s">
        <v>319</v>
      </c>
      <c r="D144" s="75" t="s">
        <v>320</v>
      </c>
      <c r="F144" s="169">
        <v>248.46199999999999</v>
      </c>
      <c r="G144" s="169">
        <v>56.115000000000002</v>
      </c>
      <c r="H144" s="169">
        <v>54.51</v>
      </c>
    </row>
    <row r="145" spans="1:8" x14ac:dyDescent="0.2">
      <c r="A145" t="s">
        <v>82</v>
      </c>
      <c r="B145" s="1">
        <v>15624315</v>
      </c>
      <c r="C145" s="80" t="s">
        <v>329</v>
      </c>
      <c r="D145" s="80" t="s">
        <v>330</v>
      </c>
      <c r="F145" s="169">
        <v>248.50700000000001</v>
      </c>
      <c r="G145" s="169">
        <v>56.302999999999997</v>
      </c>
      <c r="H145" s="169">
        <v>93.332999999999998</v>
      </c>
    </row>
    <row r="146" spans="1:8" x14ac:dyDescent="0.2">
      <c r="A146" t="s">
        <v>84</v>
      </c>
      <c r="B146" s="1">
        <v>14381203</v>
      </c>
      <c r="C146" s="82" t="s">
        <v>333</v>
      </c>
      <c r="D146" s="82" t="s">
        <v>334</v>
      </c>
      <c r="F146" s="169">
        <v>259.62599999999998</v>
      </c>
      <c r="G146" s="169">
        <v>48.857999999999997</v>
      </c>
      <c r="H146" s="169">
        <v>85.882000000000005</v>
      </c>
    </row>
    <row r="147" spans="1:8" x14ac:dyDescent="0.2">
      <c r="A147" t="s">
        <v>77</v>
      </c>
      <c r="B147" s="1">
        <v>14822282</v>
      </c>
      <c r="C147" s="76" t="s">
        <v>321</v>
      </c>
      <c r="D147" s="76" t="s">
        <v>322</v>
      </c>
      <c r="F147" s="169">
        <v>271.14800000000002</v>
      </c>
      <c r="G147" s="169">
        <v>80.972999999999999</v>
      </c>
      <c r="H147" s="169">
        <v>88.626999999999995</v>
      </c>
    </row>
    <row r="148" spans="1:8" x14ac:dyDescent="0.2">
      <c r="A148" t="s">
        <v>72</v>
      </c>
      <c r="B148" s="1">
        <v>8519755</v>
      </c>
      <c r="C148" s="71" t="s">
        <v>311</v>
      </c>
      <c r="D148" s="71" t="s">
        <v>312</v>
      </c>
      <c r="F148" s="169">
        <v>274.61500000000001</v>
      </c>
      <c r="G148" s="169">
        <v>100</v>
      </c>
      <c r="H148" s="169">
        <v>50.98</v>
      </c>
    </row>
    <row r="149" spans="1:8" x14ac:dyDescent="0.2">
      <c r="A149" t="s">
        <v>78</v>
      </c>
      <c r="B149" s="1">
        <v>13382297</v>
      </c>
      <c r="C149" s="77" t="s">
        <v>323</v>
      </c>
      <c r="D149" s="77" t="s">
        <v>324</v>
      </c>
      <c r="F149" s="169">
        <v>280.13</v>
      </c>
      <c r="G149" s="169">
        <v>75.489999999999995</v>
      </c>
      <c r="H149" s="169">
        <v>80</v>
      </c>
    </row>
    <row r="150" spans="1:8" x14ac:dyDescent="0.2">
      <c r="A150" t="s">
        <v>75</v>
      </c>
      <c r="B150" s="1">
        <v>13828244</v>
      </c>
      <c r="C150" s="74" t="s">
        <v>317</v>
      </c>
      <c r="D150" s="74" t="s">
        <v>318</v>
      </c>
      <c r="F150" s="169">
        <v>282.08499999999998</v>
      </c>
      <c r="G150" s="169">
        <v>100</v>
      </c>
      <c r="H150" s="169">
        <v>82.745000000000005</v>
      </c>
    </row>
    <row r="151" spans="1:8" x14ac:dyDescent="0.2">
      <c r="A151" t="s">
        <v>83</v>
      </c>
      <c r="B151" s="1">
        <v>13850042</v>
      </c>
      <c r="C151" s="81" t="s">
        <v>331</v>
      </c>
      <c r="D151" s="81" t="s">
        <v>332</v>
      </c>
      <c r="F151" s="169">
        <v>288.09500000000003</v>
      </c>
      <c r="G151" s="169">
        <v>59.716000000000001</v>
      </c>
      <c r="H151" s="169">
        <v>82.745000000000005</v>
      </c>
    </row>
    <row r="152" spans="1:8" x14ac:dyDescent="0.2">
      <c r="A152" t="s">
        <v>88</v>
      </c>
      <c r="B152" s="1">
        <v>14204888</v>
      </c>
      <c r="C152" s="86" t="s">
        <v>341</v>
      </c>
      <c r="D152" s="86" t="s">
        <v>342</v>
      </c>
      <c r="F152" s="169">
        <v>300</v>
      </c>
      <c r="G152" s="169">
        <v>11.574</v>
      </c>
      <c r="H152" s="169">
        <v>84.706000000000003</v>
      </c>
    </row>
    <row r="153" spans="1:8" x14ac:dyDescent="0.2">
      <c r="A153" t="s">
        <v>87</v>
      </c>
      <c r="B153" s="1">
        <v>14524637</v>
      </c>
      <c r="C153" s="85" t="s">
        <v>339</v>
      </c>
      <c r="D153" s="85" t="s">
        <v>340</v>
      </c>
      <c r="F153" s="169">
        <v>300</v>
      </c>
      <c r="G153" s="169">
        <v>27.602</v>
      </c>
      <c r="H153" s="169">
        <v>86.667000000000002</v>
      </c>
    </row>
    <row r="154" spans="1:8" x14ac:dyDescent="0.2">
      <c r="A154" t="s">
        <v>86</v>
      </c>
      <c r="B154" s="1">
        <v>15631086</v>
      </c>
      <c r="C154" s="84" t="s">
        <v>337</v>
      </c>
      <c r="D154" s="84" t="s">
        <v>338</v>
      </c>
      <c r="F154" s="169">
        <v>300</v>
      </c>
      <c r="G154" s="169">
        <v>45.378</v>
      </c>
      <c r="H154" s="169">
        <v>93.332999999999998</v>
      </c>
    </row>
    <row r="155" spans="1:8" x14ac:dyDescent="0.2">
      <c r="A155" t="s">
        <v>73</v>
      </c>
      <c r="B155" s="1">
        <v>8388736</v>
      </c>
      <c r="C155" s="72" t="s">
        <v>313</v>
      </c>
      <c r="D155" s="72" t="s">
        <v>314</v>
      </c>
      <c r="F155" s="169">
        <v>300</v>
      </c>
      <c r="G155" s="169">
        <v>100</v>
      </c>
      <c r="H155" s="169">
        <v>50.195999999999998</v>
      </c>
    </row>
    <row r="156" spans="1:8" x14ac:dyDescent="0.2">
      <c r="A156" t="s">
        <v>74</v>
      </c>
      <c r="B156" s="1">
        <v>9109643</v>
      </c>
      <c r="C156" s="73" t="s">
        <v>315</v>
      </c>
      <c r="D156" s="73" t="s">
        <v>316</v>
      </c>
      <c r="F156" s="169">
        <v>300</v>
      </c>
      <c r="G156" s="169">
        <v>100</v>
      </c>
      <c r="H156" s="169">
        <v>54.51</v>
      </c>
    </row>
    <row r="157" spans="1:8" x14ac:dyDescent="0.2">
      <c r="A157" t="s">
        <v>79</v>
      </c>
      <c r="B157" s="1">
        <v>16711935</v>
      </c>
      <c r="C157" s="78" t="s">
        <v>325</v>
      </c>
      <c r="D157" s="78" t="s">
        <v>326</v>
      </c>
      <c r="F157" s="169">
        <v>300</v>
      </c>
      <c r="G157" s="169">
        <v>100</v>
      </c>
      <c r="H157" s="169">
        <v>100</v>
      </c>
    </row>
    <row r="158" spans="1:8" x14ac:dyDescent="0.2">
      <c r="A158" t="s">
        <v>80</v>
      </c>
      <c r="B158" s="1">
        <v>16711935</v>
      </c>
      <c r="C158" s="78" t="s">
        <v>325</v>
      </c>
      <c r="D158" s="78" t="s">
        <v>326</v>
      </c>
      <c r="F158" s="169">
        <v>300</v>
      </c>
      <c r="G158" s="169">
        <v>100</v>
      </c>
      <c r="H158" s="169">
        <v>100</v>
      </c>
    </row>
    <row r="159" spans="1:8" x14ac:dyDescent="0.2">
      <c r="A159" t="s">
        <v>85</v>
      </c>
      <c r="B159" s="1">
        <v>14053594</v>
      </c>
      <c r="C159" s="83" t="s">
        <v>335</v>
      </c>
      <c r="D159" s="83" t="s">
        <v>336</v>
      </c>
      <c r="F159" s="169">
        <v>302.26400000000001</v>
      </c>
      <c r="G159" s="169">
        <v>48.624000000000002</v>
      </c>
      <c r="H159" s="169">
        <v>85.49</v>
      </c>
    </row>
    <row r="160" spans="1:8" x14ac:dyDescent="0.2">
      <c r="A160" t="s">
        <v>24</v>
      </c>
      <c r="B160" s="1">
        <v>8721863</v>
      </c>
      <c r="C160" s="23" t="s">
        <v>215</v>
      </c>
      <c r="D160" s="23" t="s">
        <v>216</v>
      </c>
      <c r="F160" s="169">
        <v>322.24700000000001</v>
      </c>
      <c r="G160" s="169">
        <v>89.447000000000003</v>
      </c>
      <c r="H160" s="169">
        <v>78.039000000000001</v>
      </c>
    </row>
    <row r="161" spans="1:8" x14ac:dyDescent="0.2">
      <c r="A161" t="s">
        <v>25</v>
      </c>
      <c r="B161" s="1">
        <v>9639167</v>
      </c>
      <c r="C161" s="24" t="s">
        <v>217</v>
      </c>
      <c r="D161" s="24" t="s">
        <v>218</v>
      </c>
      <c r="F161" s="169">
        <v>327.57400000000001</v>
      </c>
      <c r="G161" s="169">
        <v>92.156999999999996</v>
      </c>
      <c r="H161" s="169">
        <v>100</v>
      </c>
    </row>
    <row r="162" spans="1:8" x14ac:dyDescent="0.2">
      <c r="A162" t="s">
        <v>27</v>
      </c>
      <c r="B162" s="1">
        <v>11823615</v>
      </c>
      <c r="C162" s="26" t="s">
        <v>221</v>
      </c>
      <c r="D162" s="26" t="s">
        <v>222</v>
      </c>
      <c r="F162" s="169">
        <v>330</v>
      </c>
      <c r="G162" s="169">
        <v>58.823999999999998</v>
      </c>
      <c r="H162" s="169">
        <v>100</v>
      </c>
    </row>
    <row r="163" spans="1:8" x14ac:dyDescent="0.2">
      <c r="A163" t="s">
        <v>142</v>
      </c>
      <c r="B163" s="1">
        <v>16118015</v>
      </c>
      <c r="C163" s="139" t="s">
        <v>447</v>
      </c>
      <c r="D163" s="139" t="s">
        <v>448</v>
      </c>
      <c r="F163" s="169">
        <v>340</v>
      </c>
      <c r="G163" s="169">
        <v>5.8819999999999997</v>
      </c>
      <c r="H163" s="169">
        <v>100</v>
      </c>
    </row>
    <row r="164" spans="1:8" x14ac:dyDescent="0.2">
      <c r="A164" t="s">
        <v>26</v>
      </c>
      <c r="B164" s="1">
        <v>9662683</v>
      </c>
      <c r="C164" s="25" t="s">
        <v>219</v>
      </c>
      <c r="D164" s="25" t="s">
        <v>220</v>
      </c>
      <c r="F164" s="169">
        <v>340.37400000000002</v>
      </c>
      <c r="G164" s="169">
        <v>48.857999999999997</v>
      </c>
      <c r="H164" s="169">
        <v>85.882000000000005</v>
      </c>
    </row>
    <row r="165" spans="1:8" x14ac:dyDescent="0.2">
      <c r="A165" t="s">
        <v>33</v>
      </c>
      <c r="B165" s="1">
        <v>3937500</v>
      </c>
      <c r="C165" s="32" t="s">
        <v>233</v>
      </c>
      <c r="D165" s="32" t="s">
        <v>234</v>
      </c>
      <c r="F165" s="169">
        <v>348</v>
      </c>
      <c r="G165" s="169">
        <v>90.909000000000006</v>
      </c>
      <c r="H165" s="169">
        <v>86.275000000000006</v>
      </c>
    </row>
    <row r="166" spans="1:8" x14ac:dyDescent="0.2">
      <c r="A166" t="s">
        <v>29</v>
      </c>
      <c r="B166" s="1">
        <v>13353215</v>
      </c>
      <c r="C166" s="28" t="s">
        <v>225</v>
      </c>
      <c r="D166" s="28" t="s">
        <v>226</v>
      </c>
      <c r="F166" s="169">
        <v>349.524</v>
      </c>
      <c r="G166" s="169">
        <v>24.706</v>
      </c>
      <c r="H166" s="169">
        <v>100</v>
      </c>
    </row>
    <row r="167" spans="1:8" x14ac:dyDescent="0.2">
      <c r="A167" t="s">
        <v>28</v>
      </c>
      <c r="B167" s="1">
        <v>12695295</v>
      </c>
      <c r="C167" s="27" t="s">
        <v>223</v>
      </c>
      <c r="D167" s="27" t="s">
        <v>224</v>
      </c>
      <c r="F167" s="169">
        <v>350.959</v>
      </c>
      <c r="G167" s="169">
        <v>28.626999999999999</v>
      </c>
      <c r="H167" s="169">
        <v>100</v>
      </c>
    </row>
    <row r="168" spans="1:8" x14ac:dyDescent="0.2">
      <c r="B168" s="1"/>
      <c r="F168" s="169"/>
      <c r="G168" s="169"/>
      <c r="H168" s="169"/>
    </row>
    <row r="169" spans="1:8" x14ac:dyDescent="0.2">
      <c r="B169" s="1"/>
      <c r="F169" s="169"/>
      <c r="G169" s="169"/>
      <c r="H169" s="169"/>
    </row>
    <row r="170" spans="1:8" x14ac:dyDescent="0.2">
      <c r="B170" s="1"/>
      <c r="F170" s="169"/>
      <c r="G170" s="169"/>
      <c r="H170" s="169"/>
    </row>
    <row r="171" spans="1:8" x14ac:dyDescent="0.2">
      <c r="B171" s="1"/>
      <c r="F171" s="169"/>
      <c r="G171" s="169"/>
      <c r="H171" s="169"/>
    </row>
    <row r="172" spans="1:8" x14ac:dyDescent="0.2">
      <c r="B172" s="1"/>
      <c r="F172" s="169"/>
      <c r="G172" s="169"/>
      <c r="H172" s="169"/>
    </row>
    <row r="173" spans="1:8" x14ac:dyDescent="0.2">
      <c r="B173" s="1"/>
      <c r="F173" s="169"/>
      <c r="G173" s="169"/>
      <c r="H173" s="169"/>
    </row>
    <row r="174" spans="1:8" x14ac:dyDescent="0.2">
      <c r="B174" s="1"/>
      <c r="F174" s="169"/>
      <c r="G174" s="169"/>
      <c r="H174" s="169"/>
    </row>
    <row r="175" spans="1:8" x14ac:dyDescent="0.2">
      <c r="B175" s="1"/>
      <c r="F175" s="169"/>
      <c r="G175" s="169"/>
      <c r="H175" s="169"/>
    </row>
    <row r="176" spans="1:8" x14ac:dyDescent="0.2">
      <c r="B176" s="1"/>
      <c r="F176" s="169"/>
      <c r="G176" s="169"/>
      <c r="H176" s="169"/>
    </row>
    <row r="177" spans="2:8" x14ac:dyDescent="0.2">
      <c r="B177" s="1"/>
      <c r="F177" s="169"/>
      <c r="G177" s="169"/>
      <c r="H177" s="169"/>
    </row>
    <row r="178" spans="2:8" x14ac:dyDescent="0.2">
      <c r="B178" s="1"/>
      <c r="F178" s="169"/>
      <c r="G178" s="169"/>
      <c r="H178" s="169"/>
    </row>
    <row r="179" spans="2:8" x14ac:dyDescent="0.2">
      <c r="B179" s="1"/>
      <c r="F179" s="169"/>
      <c r="G179" s="169"/>
      <c r="H179" s="169"/>
    </row>
    <row r="180" spans="2:8" x14ac:dyDescent="0.2">
      <c r="B180" s="1"/>
      <c r="F180" s="169"/>
      <c r="G180" s="169"/>
      <c r="H180" s="169"/>
    </row>
    <row r="181" spans="2:8" x14ac:dyDescent="0.2">
      <c r="B181" s="1"/>
      <c r="F181" s="169"/>
      <c r="G181" s="169"/>
      <c r="H181" s="169"/>
    </row>
    <row r="182" spans="2:8" x14ac:dyDescent="0.2">
      <c r="B182" s="1"/>
      <c r="F182" s="169"/>
      <c r="G182" s="169"/>
      <c r="H182" s="169"/>
    </row>
    <row r="183" spans="2:8" x14ac:dyDescent="0.2">
      <c r="B183" s="1"/>
      <c r="F183" s="169"/>
      <c r="G183" s="169"/>
      <c r="H183" s="169"/>
    </row>
    <row r="184" spans="2:8" x14ac:dyDescent="0.2">
      <c r="B184" s="1"/>
      <c r="F184" s="169"/>
      <c r="G184" s="169"/>
      <c r="H184" s="169"/>
    </row>
    <row r="185" spans="2:8" x14ac:dyDescent="0.2">
      <c r="B185" s="1"/>
      <c r="F185" s="169"/>
      <c r="G185" s="169"/>
      <c r="H185" s="169"/>
    </row>
    <row r="186" spans="2:8" x14ac:dyDescent="0.2">
      <c r="B186" s="1"/>
      <c r="F186" s="169"/>
      <c r="G186" s="169"/>
      <c r="H186" s="169"/>
    </row>
    <row r="187" spans="2:8" x14ac:dyDescent="0.2">
      <c r="B187" s="1"/>
      <c r="F187" s="169"/>
      <c r="G187" s="169"/>
      <c r="H187" s="169"/>
    </row>
    <row r="188" spans="2:8" x14ac:dyDescent="0.2">
      <c r="B188" s="1"/>
      <c r="F188" s="169"/>
      <c r="G188" s="169"/>
      <c r="H188" s="169"/>
    </row>
    <row r="189" spans="2:8" x14ac:dyDescent="0.2">
      <c r="B189" s="1"/>
      <c r="F189" s="169"/>
      <c r="G189" s="169"/>
      <c r="H189" s="169"/>
    </row>
  </sheetData>
  <sortState xmlns:xlrd2="http://schemas.microsoft.com/office/spreadsheetml/2017/richdata2" ref="A28:H189">
    <sortCondition ref="F28:F189"/>
    <sortCondition ref="G28:G189"/>
    <sortCondition ref="H28:H18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</vt:lpstr>
      <vt:lpstr>Sheet2</vt:lpstr>
      <vt:lpstr>Sorted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Fisher</dc:creator>
  <cp:lastModifiedBy>Fisher, Benjamin Standal (Ben) CIV USARMY CEPOJ (USA)</cp:lastModifiedBy>
  <cp:lastPrinted>2024-04-18T11:16:09Z</cp:lastPrinted>
  <dcterms:created xsi:type="dcterms:W3CDTF">2024-04-18T10:48:39Z</dcterms:created>
  <dcterms:modified xsi:type="dcterms:W3CDTF">2026-07-17T01:01:00Z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lder_Number">
    <vt:lpwstr/>
  </property>
  <property fmtid="{D5CDD505-2E9C-101B-9397-08002B2CF9AE}" pid="3" name="Folder_Code">
    <vt:lpwstr/>
  </property>
  <property fmtid="{D5CDD505-2E9C-101B-9397-08002B2CF9AE}" pid="4" name="Folder_Name">
    <vt:lpwstr/>
  </property>
  <property fmtid="{D5CDD505-2E9C-101B-9397-08002B2CF9AE}" pid="5" name="Folder_Description">
    <vt:lpwstr/>
  </property>
  <property fmtid="{D5CDD505-2E9C-101B-9397-08002B2CF9AE}" pid="6" name="/Folder_Name/">
    <vt:lpwstr/>
  </property>
  <property fmtid="{D5CDD505-2E9C-101B-9397-08002B2CF9AE}" pid="7" name="/Folder_Description/">
    <vt:lpwstr/>
  </property>
  <property fmtid="{D5CDD505-2E9C-101B-9397-08002B2CF9AE}" pid="8" name="Folder_Version">
    <vt:lpwstr/>
  </property>
  <property fmtid="{D5CDD505-2E9C-101B-9397-08002B2CF9AE}" pid="9" name="Folder_VersionSeq">
    <vt:lpwstr/>
  </property>
  <property fmtid="{D5CDD505-2E9C-101B-9397-08002B2CF9AE}" pid="10" name="Folder_Manager">
    <vt:lpwstr/>
  </property>
  <property fmtid="{D5CDD505-2E9C-101B-9397-08002B2CF9AE}" pid="11" name="Folder_ManagerDesc">
    <vt:lpwstr/>
  </property>
  <property fmtid="{D5CDD505-2E9C-101B-9397-08002B2CF9AE}" pid="12" name="Folder_Storage">
    <vt:lpwstr/>
  </property>
  <property fmtid="{D5CDD505-2E9C-101B-9397-08002B2CF9AE}" pid="13" name="Folder_StorageDesc">
    <vt:lpwstr/>
  </property>
  <property fmtid="{D5CDD505-2E9C-101B-9397-08002B2CF9AE}" pid="14" name="Folder_Creator">
    <vt:lpwstr/>
  </property>
  <property fmtid="{D5CDD505-2E9C-101B-9397-08002B2CF9AE}" pid="15" name="Folder_CreatorDesc">
    <vt:lpwstr/>
  </property>
  <property fmtid="{D5CDD505-2E9C-101B-9397-08002B2CF9AE}" pid="16" name="Folder_CreateDate">
    <vt:lpwstr/>
  </property>
  <property fmtid="{D5CDD505-2E9C-101B-9397-08002B2CF9AE}" pid="17" name="Folder_Updater">
    <vt:lpwstr/>
  </property>
  <property fmtid="{D5CDD505-2E9C-101B-9397-08002B2CF9AE}" pid="18" name="Folder_UpdaterDesc">
    <vt:lpwstr/>
  </property>
  <property fmtid="{D5CDD505-2E9C-101B-9397-08002B2CF9AE}" pid="19" name="Folder_UpdateDate">
    <vt:lpwstr/>
  </property>
  <property fmtid="{D5CDD505-2E9C-101B-9397-08002B2CF9AE}" pid="20" name="Document_Number">
    <vt:lpwstr/>
  </property>
  <property fmtid="{D5CDD505-2E9C-101B-9397-08002B2CF9AE}" pid="21" name="Document_Name">
    <vt:lpwstr/>
  </property>
  <property fmtid="{D5CDD505-2E9C-101B-9397-08002B2CF9AE}" pid="22" name="Document_FileName">
    <vt:lpwstr/>
  </property>
  <property fmtid="{D5CDD505-2E9C-101B-9397-08002B2CF9AE}" pid="23" name="Document_Version">
    <vt:lpwstr/>
  </property>
  <property fmtid="{D5CDD505-2E9C-101B-9397-08002B2CF9AE}" pid="24" name="Document_VersionSeq">
    <vt:lpwstr/>
  </property>
  <property fmtid="{D5CDD505-2E9C-101B-9397-08002B2CF9AE}" pid="25" name="Document_Creator">
    <vt:lpwstr/>
  </property>
  <property fmtid="{D5CDD505-2E9C-101B-9397-08002B2CF9AE}" pid="26" name="Document_CreatorDesc">
    <vt:lpwstr/>
  </property>
  <property fmtid="{D5CDD505-2E9C-101B-9397-08002B2CF9AE}" pid="27" name="Document_CreateDate">
    <vt:lpwstr/>
  </property>
  <property fmtid="{D5CDD505-2E9C-101B-9397-08002B2CF9AE}" pid="28" name="Document_Updater">
    <vt:lpwstr/>
  </property>
  <property fmtid="{D5CDD505-2E9C-101B-9397-08002B2CF9AE}" pid="29" name="Document_UpdaterDesc">
    <vt:lpwstr/>
  </property>
  <property fmtid="{D5CDD505-2E9C-101B-9397-08002B2CF9AE}" pid="30" name="Document_UpdateDate">
    <vt:lpwstr/>
  </property>
  <property fmtid="{D5CDD505-2E9C-101B-9397-08002B2CF9AE}" pid="31" name="Document_Size">
    <vt:lpwstr/>
  </property>
  <property fmtid="{D5CDD505-2E9C-101B-9397-08002B2CF9AE}" pid="32" name="Document_Storage">
    <vt:lpwstr/>
  </property>
  <property fmtid="{D5CDD505-2E9C-101B-9397-08002B2CF9AE}" pid="33" name="Document_StorageDesc">
    <vt:lpwstr/>
  </property>
  <property fmtid="{D5CDD505-2E9C-101B-9397-08002B2CF9AE}" pid="34" name="Document_Department">
    <vt:lpwstr/>
  </property>
  <property fmtid="{D5CDD505-2E9C-101B-9397-08002B2CF9AE}" pid="35" name="Document_DepartmentDesc">
    <vt:lpwstr/>
  </property>
</Properties>
</file>