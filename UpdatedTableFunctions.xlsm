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2ee9bsf\Documents\03 Repos\01 Excel\03 Dr Checks Review\"/>
    </mc:Choice>
  </mc:AlternateContent>
  <xr:revisionPtr revIDLastSave="0" documentId="13_ncr:1_{8AA564D5-4AAC-4F9F-9E5D-301ACF5CCA61}" xr6:coauthVersionLast="47" xr6:coauthVersionMax="47" xr10:uidLastSave="{00000000-0000-0000-0000-000000000000}"/>
  <bookViews>
    <workbookView xWindow="2220" yWindow="1080" windowWidth="19065" windowHeight="11265" xr2:uid="{0CF5BA12-DC93-4DA6-915B-ED431D8BA54C}"/>
  </bookViews>
  <sheets>
    <sheet name="Sheet1" sheetId="1" r:id="rId1"/>
    <sheet name="Schemes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2" i="4" l="1" a="1"/>
  <c r="F162" i="4" a="1"/>
  <c r="F138" i="4" a="1"/>
  <c r="F29" i="4" a="1"/>
  <c r="F79" i="4" a="1"/>
  <c r="F28" i="4" a="1"/>
  <c r="F148" i="4" a="1"/>
  <c r="F96" i="4" a="1"/>
  <c r="F105" i="4" a="1"/>
  <c r="F107" i="4" a="1"/>
  <c r="F54" i="4" a="1"/>
  <c r="F87" i="4" a="1"/>
  <c r="F43" i="4" a="1"/>
  <c r="F150" i="4" a="1"/>
  <c r="F151" i="4" a="1"/>
  <c r="F144" i="4" a="1"/>
  <c r="F146" i="4" a="1"/>
  <c r="F125" i="4" a="1"/>
  <c r="F49" i="4" a="1"/>
  <c r="F3" i="4" a="1"/>
  <c r="F88" i="4" a="1"/>
  <c r="F149" i="4" a="1"/>
  <c r="F98" i="4" a="1"/>
  <c r="F118" i="4" a="1"/>
  <c r="F53" i="4" a="1"/>
  <c r="F6" i="4" a="1"/>
  <c r="F36" i="4" a="1"/>
  <c r="F31" i="4" a="1"/>
  <c r="F147" i="4" a="1"/>
  <c r="F159" i="4" a="1"/>
  <c r="F108" i="4" a="1"/>
  <c r="F69" i="4" a="1"/>
  <c r="F41" i="4" a="1"/>
  <c r="F23" i="4" a="1"/>
  <c r="F84" i="4" a="1"/>
  <c r="F89" i="4" a="1"/>
  <c r="F157" i="4" a="1"/>
  <c r="F127" i="4" a="1"/>
  <c r="F114" i="4" a="1"/>
  <c r="F106" i="4" a="1"/>
  <c r="F51" i="4" a="1"/>
  <c r="F164" i="4" a="1"/>
  <c r="F126" i="4" a="1"/>
  <c r="F141" i="4" a="1"/>
  <c r="F111" i="4" a="1"/>
  <c r="F95" i="4" a="1"/>
  <c r="F45" i="4" a="1"/>
  <c r="F61" i="4" a="1"/>
  <c r="F62" i="4" a="1"/>
  <c r="F103" i="4" a="1"/>
  <c r="F65" i="4" a="1"/>
  <c r="F40" i="4" a="1"/>
  <c r="F72" i="4" a="1"/>
  <c r="F44" i="4" a="1"/>
  <c r="F90" i="4" a="1"/>
  <c r="F63" i="4" a="1"/>
  <c r="F133" i="4" a="1"/>
  <c r="F74" i="4" a="1"/>
  <c r="F152" i="4" a="1"/>
  <c r="F58" i="4" a="1"/>
  <c r="F142" i="4" a="1"/>
  <c r="F113" i="4" a="1"/>
  <c r="F37" i="4" a="1"/>
  <c r="F57" i="4" a="1"/>
  <c r="F97" i="4" a="1"/>
  <c r="F130" i="4" a="1"/>
  <c r="F50" i="4" a="1"/>
  <c r="F66" i="4" a="1"/>
  <c r="F15" i="4" a="1"/>
  <c r="F135" i="4" a="1"/>
  <c r="F47" i="4" a="1"/>
  <c r="F60" i="4" a="1"/>
  <c r="F67" i="4" a="1"/>
  <c r="F30" i="4" a="1"/>
  <c r="F81" i="4" a="1"/>
  <c r="F39" i="4" a="1"/>
  <c r="F77" i="4" a="1"/>
  <c r="F25" i="4" a="1"/>
  <c r="F134" i="4" a="1"/>
  <c r="F73" i="4" a="1"/>
  <c r="F55" i="4" a="1"/>
  <c r="F71" i="4" a="1"/>
  <c r="F160" i="4" a="1"/>
  <c r="F117" i="4" a="1"/>
  <c r="F7" i="4" a="1"/>
  <c r="F48" i="4" a="1"/>
  <c r="F35" i="4" a="1"/>
  <c r="F9" i="4" a="1"/>
  <c r="F145" i="4" a="1"/>
  <c r="F120" i="4" a="1"/>
  <c r="F104" i="4" a="1"/>
  <c r="F115" i="4" a="1"/>
  <c r="F16" i="4" a="1"/>
  <c r="F121" i="4" a="1"/>
  <c r="F22" i="4" a="1"/>
  <c r="F14" i="4" a="1"/>
  <c r="F80" i="4" a="1"/>
  <c r="F136" i="4" a="1"/>
  <c r="F18" i="4" a="1"/>
  <c r="F32" i="4" a="1"/>
  <c r="F78" i="4" a="1"/>
  <c r="F38" i="4" a="1"/>
  <c r="F20" i="4" a="1"/>
  <c r="F128" i="4" a="1"/>
  <c r="F5" i="4" a="1"/>
  <c r="F123" i="4" a="1"/>
  <c r="F93" i="4" a="1"/>
  <c r="F155" i="4" a="1"/>
  <c r="F94" i="4" a="1"/>
  <c r="F68" i="4" a="1"/>
  <c r="F21" i="4" a="1"/>
  <c r="F132" i="4" a="1"/>
  <c r="F85" i="4" a="1"/>
  <c r="F27" i="4" a="1"/>
  <c r="F129" i="4" a="1"/>
  <c r="F167" i="4" a="1"/>
  <c r="F75" i="4" a="1"/>
  <c r="F8" i="4" a="1"/>
  <c r="F158" i="4" a="1"/>
  <c r="F70" i="4" a="1"/>
  <c r="F19" i="4" a="1"/>
  <c r="F119" i="4" a="1"/>
  <c r="F99" i="4" a="1"/>
  <c r="F76" i="4" a="1"/>
  <c r="F156" i="4" a="1"/>
  <c r="F64" i="4" a="1"/>
  <c r="F86" i="4" a="1"/>
  <c r="F10" i="4" a="1"/>
  <c r="F92" i="4" a="1"/>
  <c r="F13" i="4" a="1"/>
  <c r="F42" i="4" a="1"/>
  <c r="F124" i="4" a="1"/>
  <c r="F56" i="4" a="1"/>
  <c r="F153" i="4" a="1"/>
  <c r="F112" i="4" a="1"/>
  <c r="F139" i="4" a="1"/>
  <c r="F137" i="4" a="1"/>
  <c r="F166" i="4" a="1"/>
  <c r="F24" i="4" a="1"/>
  <c r="F122" i="4" a="1"/>
  <c r="F26" i="4" a="1"/>
  <c r="F163" i="4" a="1"/>
  <c r="F46" i="4" a="1"/>
  <c r="F102" i="4" a="1"/>
  <c r="F161" i="4" a="1"/>
  <c r="F143" i="4" a="1"/>
  <c r="F101" i="4" a="1"/>
  <c r="F52" i="4" a="1"/>
  <c r="F83" i="4" a="1"/>
  <c r="F131" i="4" a="1"/>
  <c r="F165" i="4" a="1"/>
  <c r="F109" i="4" a="1"/>
  <c r="F4" i="4" a="1"/>
  <c r="F17" i="4" a="1"/>
  <c r="F59" i="4" a="1"/>
  <c r="F110" i="4" a="1"/>
  <c r="F33" i="4" a="1"/>
  <c r="F100" i="4" a="1"/>
  <c r="F82" i="4" a="1"/>
  <c r="F140" i="4" a="1"/>
  <c r="F154" i="4" a="1"/>
  <c r="F34" i="4" a="1"/>
  <c r="F11" i="4" a="1"/>
  <c r="F91" i="4" a="1"/>
  <c r="F116" i="4" a="1"/>
  <c r="F116" i="4" l="1"/>
  <c r="F91" i="4"/>
  <c r="F11" i="4"/>
  <c r="F34" i="4"/>
  <c r="F154" i="4"/>
  <c r="F140" i="4"/>
  <c r="F82" i="4"/>
  <c r="F100" i="4"/>
  <c r="F33" i="4"/>
  <c r="F110" i="4"/>
  <c r="F59" i="4"/>
  <c r="F17" i="4"/>
  <c r="F4" i="4"/>
  <c r="F109" i="4"/>
  <c r="F165" i="4"/>
  <c r="F131" i="4"/>
  <c r="F83" i="4"/>
  <c r="F52" i="4"/>
  <c r="F101" i="4"/>
  <c r="F143" i="4"/>
  <c r="F161" i="4"/>
  <c r="F102" i="4"/>
  <c r="F46" i="4"/>
  <c r="F163" i="4"/>
  <c r="F26" i="4"/>
  <c r="F122" i="4"/>
  <c r="F24" i="4"/>
  <c r="F166" i="4"/>
  <c r="F137" i="4"/>
  <c r="F139" i="4"/>
  <c r="F112" i="4"/>
  <c r="F153" i="4"/>
  <c r="F56" i="4"/>
  <c r="F124" i="4"/>
  <c r="F42" i="4"/>
  <c r="F13" i="4"/>
  <c r="F92" i="4"/>
  <c r="F10" i="4"/>
  <c r="F86" i="4"/>
  <c r="F64" i="4"/>
  <c r="F156" i="4"/>
  <c r="F76" i="4"/>
  <c r="F99" i="4"/>
  <c r="F119" i="4"/>
  <c r="F19" i="4"/>
  <c r="F70" i="4"/>
  <c r="F158" i="4"/>
  <c r="F8" i="4"/>
  <c r="F75" i="4"/>
  <c r="F167" i="4"/>
  <c r="F129" i="4"/>
  <c r="F27" i="4"/>
  <c r="F85" i="4"/>
  <c r="F132" i="4"/>
  <c r="F21" i="4"/>
  <c r="F68" i="4"/>
  <c r="F94" i="4"/>
  <c r="F155" i="4"/>
  <c r="F93" i="4"/>
  <c r="F123" i="4"/>
  <c r="F5" i="4"/>
  <c r="F128" i="4"/>
  <c r="F20" i="4"/>
  <c r="F38" i="4"/>
  <c r="F78" i="4"/>
  <c r="F32" i="4"/>
  <c r="F18" i="4"/>
  <c r="F136" i="4"/>
  <c r="F80" i="4"/>
  <c r="F14" i="4"/>
  <c r="F22" i="4"/>
  <c r="F121" i="4"/>
  <c r="F16" i="4"/>
  <c r="F115" i="4"/>
  <c r="F104" i="4"/>
  <c r="F120" i="4"/>
  <c r="F145" i="4"/>
  <c r="F9" i="4"/>
  <c r="F35" i="4"/>
  <c r="F48" i="4"/>
  <c r="F7" i="4"/>
  <c r="F117" i="4"/>
  <c r="F160" i="4"/>
  <c r="F71" i="4"/>
  <c r="F55" i="4"/>
  <c r="F73" i="4"/>
  <c r="F134" i="4"/>
  <c r="F25" i="4"/>
  <c r="F77" i="4"/>
  <c r="F39" i="4"/>
  <c r="F81" i="4"/>
  <c r="F30" i="4"/>
  <c r="F67" i="4"/>
  <c r="F60" i="4"/>
  <c r="F47" i="4"/>
  <c r="F135" i="4"/>
  <c r="F15" i="4"/>
  <c r="F66" i="4"/>
  <c r="F50" i="4"/>
  <c r="F130" i="4"/>
  <c r="F97" i="4"/>
  <c r="F57" i="4"/>
  <c r="F37" i="4"/>
  <c r="F113" i="4"/>
  <c r="F142" i="4"/>
  <c r="F58" i="4"/>
  <c r="F152" i="4"/>
  <c r="F74" i="4"/>
  <c r="F133" i="4"/>
  <c r="F63" i="4"/>
  <c r="F90" i="4"/>
  <c r="F44" i="4"/>
  <c r="F72" i="4"/>
  <c r="F40" i="4"/>
  <c r="F65" i="4"/>
  <c r="F103" i="4"/>
  <c r="F62" i="4"/>
  <c r="F61" i="4"/>
  <c r="F45" i="4"/>
  <c r="F95" i="4"/>
  <c r="F111" i="4"/>
  <c r="F141" i="4"/>
  <c r="F126" i="4"/>
  <c r="F164" i="4"/>
  <c r="F51" i="4"/>
  <c r="F106" i="4"/>
  <c r="F114" i="4"/>
  <c r="F127" i="4"/>
  <c r="F157" i="4"/>
  <c r="F89" i="4"/>
  <c r="F84" i="4"/>
  <c r="F23" i="4"/>
  <c r="F41" i="4"/>
  <c r="F69" i="4"/>
  <c r="F108" i="4"/>
  <c r="F159" i="4"/>
  <c r="F147" i="4"/>
  <c r="F31" i="4"/>
  <c r="F36" i="4"/>
  <c r="F6" i="4"/>
  <c r="F53" i="4"/>
  <c r="F118" i="4"/>
  <c r="F98" i="4"/>
  <c r="F149" i="4"/>
  <c r="F88" i="4"/>
  <c r="F3" i="4"/>
  <c r="F49" i="4"/>
  <c r="F125" i="4"/>
  <c r="F146" i="4"/>
  <c r="F144" i="4"/>
  <c r="F151" i="4"/>
  <c r="F150" i="4"/>
  <c r="F43" i="4"/>
  <c r="F87" i="4"/>
  <c r="F54" i="4"/>
  <c r="F107" i="4"/>
  <c r="F105" i="4"/>
  <c r="F96" i="4"/>
  <c r="F148" i="4"/>
  <c r="F28" i="4"/>
  <c r="F79" i="4"/>
  <c r="F29" i="4"/>
  <c r="F138" i="4"/>
  <c r="F162" i="4"/>
  <c r="F12" i="4"/>
  <c r="J6" i="4" l="1" a="1"/>
  <c r="L150" i="4" a="1"/>
  <c r="L60" i="4" a="1"/>
  <c r="K28" i="4" a="1"/>
  <c r="K113" i="4" a="1"/>
  <c r="J143" i="4" a="1"/>
  <c r="K21" i="4" a="1"/>
  <c r="K85" i="4" a="1"/>
  <c r="L46" i="4" a="1"/>
  <c r="K79" i="4" a="1"/>
  <c r="J88" i="4" a="1"/>
  <c r="L52" i="4" a="1"/>
  <c r="K97" i="4" a="1"/>
  <c r="K19" i="4" a="1"/>
  <c r="L66" i="4" a="1"/>
  <c r="L160" i="4" a="1"/>
  <c r="K135" i="4" a="1"/>
  <c r="K47" i="4" a="1"/>
  <c r="J111" i="4" a="1"/>
  <c r="K78" i="4" a="1"/>
  <c r="L102" i="4" a="1"/>
  <c r="K148" i="4" a="1"/>
  <c r="L104" i="4" a="1"/>
  <c r="L107" i="4" a="1"/>
  <c r="L73" i="4" a="1"/>
  <c r="J139" i="4" a="1"/>
  <c r="J36" i="4" a="1"/>
  <c r="J12" i="4" a="1"/>
  <c r="L10" i="4" a="1"/>
  <c r="K13" i="4" a="1"/>
  <c r="K56" i="4" a="1"/>
  <c r="K25" i="4" a="1"/>
  <c r="L53" i="4" a="1"/>
  <c r="K22" i="4" a="1"/>
  <c r="L165" i="4" a="1"/>
  <c r="K132" i="4" a="1"/>
  <c r="K60" i="4" a="1"/>
  <c r="J39" i="4" a="1"/>
  <c r="L143" i="4" a="1"/>
  <c r="L144" i="4" a="1"/>
  <c r="K46" i="4" a="1"/>
  <c r="J79" i="4" a="1"/>
  <c r="J52" i="4" a="1"/>
  <c r="L97" i="4" a="1"/>
  <c r="K66" i="4" a="1"/>
  <c r="J160" i="4" a="1"/>
  <c r="J47" i="4" a="1"/>
  <c r="L111" i="4" a="1"/>
  <c r="K102" i="4" a="1"/>
  <c r="L148" i="4" a="1"/>
  <c r="J107" i="4" a="1"/>
  <c r="J73" i="4" a="1"/>
  <c r="L36" i="4" a="1"/>
  <c r="K12" i="4" a="1"/>
  <c r="L13" i="4" a="1"/>
  <c r="J56" i="4" a="1"/>
  <c r="J53" i="4" a="1"/>
  <c r="K116" i="4" a="1"/>
  <c r="J3" i="4" a="1"/>
  <c r="J45" i="4" a="1"/>
  <c r="J105" i="4" a="1"/>
  <c r="K83" i="4" a="1"/>
  <c r="K17" i="4" a="1"/>
  <c r="L125" i="4" a="1"/>
  <c r="K118" i="4" a="1"/>
  <c r="J91" i="4" a="1"/>
  <c r="L49" i="4" a="1"/>
  <c r="K162" i="4" a="1"/>
  <c r="L89" i="4" a="1"/>
  <c r="L43" i="4" a="1"/>
  <c r="J77" i="4" a="1"/>
  <c r="L119" i="4" a="1"/>
  <c r="L57" i="4" a="1"/>
  <c r="J24" i="4" a="1"/>
  <c r="L82" i="4" a="1"/>
  <c r="K115" i="4" a="1"/>
  <c r="J38" i="4" a="1"/>
  <c r="J74" i="4" a="1"/>
  <c r="K24" i="4" a="1"/>
  <c r="L167" i="4" a="1"/>
  <c r="J115" i="4" a="1"/>
  <c r="L65" i="4" a="1"/>
  <c r="J35" i="4" a="1"/>
  <c r="J130" i="4" a="1"/>
  <c r="J57" i="4" a="1"/>
  <c r="J150" i="4" a="1"/>
  <c r="L88" i="4" a="1"/>
  <c r="L115" i="4" a="1"/>
  <c r="J19" i="4" a="1"/>
  <c r="L42" i="4" a="1"/>
  <c r="L68" i="4" a="1"/>
  <c r="L25" i="4" a="1"/>
  <c r="K150" i="4" a="1"/>
  <c r="K88" i="4" a="1"/>
  <c r="K52" i="4" a="1"/>
  <c r="J65" i="4" a="1"/>
  <c r="J102" i="4" a="1"/>
  <c r="K130" i="4" a="1"/>
  <c r="K84" i="4" a="1"/>
  <c r="K165" i="4" a="1"/>
  <c r="L6" i="4" a="1"/>
  <c r="L28" i="4" a="1"/>
  <c r="L21" i="4" a="1"/>
  <c r="K101" i="4" a="1"/>
  <c r="K112" i="4" a="1"/>
  <c r="L136" i="4" a="1"/>
  <c r="L33" i="4" a="1"/>
  <c r="J5" i="4" a="1"/>
  <c r="K131" i="4" a="1"/>
  <c r="L108" i="4" a="1"/>
  <c r="L123" i="4" a="1"/>
  <c r="L22" i="4" a="1"/>
  <c r="J141" i="4" a="1"/>
  <c r="K80" i="4" a="1"/>
  <c r="L62" i="4" a="1"/>
  <c r="J86" i="4" a="1"/>
  <c r="J114" i="4" a="1"/>
  <c r="L157" i="4" a="1"/>
  <c r="J117" i="4" a="1"/>
  <c r="L166" i="4" a="1"/>
  <c r="L93" i="4" a="1"/>
  <c r="L77" i="4" a="1"/>
  <c r="K54" i="4" a="1"/>
  <c r="K82" i="4" a="1"/>
  <c r="K110" i="4" a="1"/>
  <c r="J64" i="4" a="1"/>
  <c r="J100" i="4" a="1"/>
  <c r="K106" i="4" a="1"/>
  <c r="L130" i="4" a="1"/>
  <c r="L51" i="4" a="1"/>
  <c r="J66" i="4" a="1"/>
  <c r="K139" i="4" a="1"/>
  <c r="K6" i="4" a="1"/>
  <c r="L132" i="4" a="1"/>
  <c r="J163" i="4" a="1"/>
  <c r="J28" i="4" a="1"/>
  <c r="K39" i="4" a="1"/>
  <c r="K140" i="4" a="1"/>
  <c r="J21" i="4" a="1"/>
  <c r="J144" i="4" a="1"/>
  <c r="L69" i="4" a="1"/>
  <c r="L79" i="4" a="1"/>
  <c r="L101" i="4" a="1"/>
  <c r="K105" i="4" a="1"/>
  <c r="J97" i="4" a="1"/>
  <c r="L112" i="4" a="1"/>
  <c r="L71" i="4" a="1"/>
  <c r="K160" i="4" a="1"/>
  <c r="K136" i="4" a="1"/>
  <c r="K7" i="4" a="1"/>
  <c r="K111" i="4" a="1"/>
  <c r="J33" i="4" a="1"/>
  <c r="L41" i="4" a="1"/>
  <c r="J148" i="4" a="1"/>
  <c r="K5" i="4" a="1"/>
  <c r="J118" i="4" a="1"/>
  <c r="K73" i="4" a="1"/>
  <c r="J131" i="4" a="1"/>
  <c r="J156" i="4" a="1"/>
  <c r="L12" i="4" a="1"/>
  <c r="K108" i="4" a="1"/>
  <c r="J49" i="4" a="1"/>
  <c r="L56" i="4" a="1"/>
  <c r="K123" i="4" a="1"/>
  <c r="K114" i="4" a="1"/>
  <c r="J22" i="4" a="1"/>
  <c r="J116" i="4" a="1"/>
  <c r="J63" i="4" a="1"/>
  <c r="L7" i="4" a="1"/>
  <c r="J158" i="4" a="1"/>
  <c r="K92" i="4" a="1"/>
  <c r="L94" i="4" a="1"/>
  <c r="J72" i="4" a="1"/>
  <c r="J48" i="4" a="1"/>
  <c r="K29" i="4" a="1"/>
  <c r="L129" i="4" a="1"/>
  <c r="K35" i="4" a="1"/>
  <c r="J58" i="4" a="1"/>
  <c r="J124" i="4" a="1"/>
  <c r="L38" i="4" a="1"/>
  <c r="L58" i="4" a="1"/>
  <c r="L124" i="4" a="1"/>
  <c r="J133" i="4" a="1"/>
  <c r="K58" i="4" a="1"/>
  <c r="L113" i="4" a="1"/>
  <c r="J110" i="4" a="1"/>
  <c r="L64" i="4" a="1"/>
  <c r="K76" i="4" a="1"/>
  <c r="J132" i="4" a="1"/>
  <c r="K163" i="4" a="1"/>
  <c r="K3" i="4" a="1"/>
  <c r="L39" i="4" a="1"/>
  <c r="L140" i="4" a="1"/>
  <c r="L63" i="4" a="1"/>
  <c r="K144" i="4" a="1"/>
  <c r="J69" i="4" a="1"/>
  <c r="L45" i="4" a="1"/>
  <c r="J101" i="4" a="1"/>
  <c r="L105" i="4" a="1"/>
  <c r="J134" i="4" a="1"/>
  <c r="J112" i="4" a="1"/>
  <c r="J71" i="4" a="1"/>
  <c r="J80" i="4" a="1"/>
  <c r="J136" i="4" a="1"/>
  <c r="J7" i="4" a="1"/>
  <c r="J152" i="4" a="1"/>
  <c r="K33" i="4" a="1"/>
  <c r="J41" i="4" a="1"/>
  <c r="J62" i="4" a="1"/>
  <c r="L5" i="4" a="1"/>
  <c r="L118" i="4" a="1"/>
  <c r="K121" i="4" a="1"/>
  <c r="L131" i="4" a="1"/>
  <c r="K156" i="4" a="1"/>
  <c r="K86" i="4" a="1"/>
  <c r="J108" i="4" a="1"/>
  <c r="K49" i="4" a="1"/>
  <c r="J149" i="4" a="1"/>
  <c r="J123" i="4" a="1"/>
  <c r="L114" i="4" a="1"/>
  <c r="K94" i="4" a="1"/>
  <c r="L116" i="4" a="1"/>
  <c r="J140" i="4" a="1"/>
  <c r="K71" i="4" a="1"/>
  <c r="K41" i="4" a="1"/>
  <c r="L156" i="4" a="1"/>
  <c r="L70" i="4" a="1"/>
  <c r="J70" i="4" a="1"/>
  <c r="K151" i="4" a="1"/>
  <c r="L74" i="4" a="1"/>
  <c r="K124" i="4" a="1"/>
  <c r="J43" i="4" a="1"/>
  <c r="J119" i="4" a="1"/>
  <c r="L50" i="4" a="1"/>
  <c r="L126" i="4" a="1"/>
  <c r="K42" i="4" a="1"/>
  <c r="L84" i="4" a="1"/>
  <c r="J113" i="4" a="1"/>
  <c r="L78" i="4" a="1"/>
  <c r="K10" i="4" a="1"/>
  <c r="K143" i="4" a="1"/>
  <c r="J135" i="4" a="1"/>
  <c r="K36" i="4" a="1"/>
  <c r="L76" i="4" a="1"/>
  <c r="K147" i="4" a="1"/>
  <c r="L163" i="4" a="1"/>
  <c r="J120" i="4" a="1"/>
  <c r="K69" i="4" a="1"/>
  <c r="L96" i="4" a="1"/>
  <c r="L134" i="4" a="1"/>
  <c r="K152" i="4" a="1"/>
  <c r="J121" i="4" a="1"/>
  <c r="L149" i="4" a="1"/>
  <c r="K93" i="4" a="1"/>
  <c r="L44" i="4" a="1"/>
  <c r="J126" i="4" a="1"/>
  <c r="J164" i="4" a="1"/>
  <c r="J68" i="4" a="1"/>
  <c r="L100" i="4" a="1"/>
  <c r="J15" i="4" a="1"/>
  <c r="K74" i="4" a="1"/>
  <c r="J138" i="4" a="1"/>
  <c r="L135" i="4" a="1"/>
  <c r="L139" i="4" a="1"/>
  <c r="J165" i="4" a="1"/>
  <c r="J167" i="4" a="1"/>
  <c r="J42" i="4" a="1"/>
  <c r="J25" i="4" a="1"/>
  <c r="J76" i="4" a="1"/>
  <c r="J147" i="4" a="1"/>
  <c r="J146" i="4" a="1"/>
  <c r="L3" i="4" a="1"/>
  <c r="K120" i="4" a="1"/>
  <c r="K87" i="4" a="1"/>
  <c r="K63" i="4" a="1"/>
  <c r="K141" i="4" a="1"/>
  <c r="K95" i="4" a="1"/>
  <c r="K45" i="4" a="1"/>
  <c r="K96" i="4" a="1"/>
  <c r="J98" i="4" a="1"/>
  <c r="K134" i="4" a="1"/>
  <c r="L83" i="4" a="1"/>
  <c r="L109" i="4" a="1"/>
  <c r="L80" i="4" a="1"/>
  <c r="J17" i="4" a="1"/>
  <c r="J18" i="4" a="1"/>
  <c r="L152" i="4" a="1"/>
  <c r="J125" i="4" a="1"/>
  <c r="J81" i="4" a="1"/>
  <c r="K62" i="4" a="1"/>
  <c r="L158" i="4" a="1"/>
  <c r="K127" i="4" a="1"/>
  <c r="L121" i="4" a="1"/>
  <c r="K91" i="4" a="1"/>
  <c r="J31" i="4" a="1"/>
  <c r="L86" i="4" a="1"/>
  <c r="L92" i="4" a="1"/>
  <c r="L142" i="4" a="1"/>
  <c r="K149" i="4" a="1"/>
  <c r="K70" i="4" a="1"/>
  <c r="K72" i="4" a="1"/>
  <c r="J94" i="4" a="1"/>
  <c r="K16" i="4" a="1"/>
  <c r="L17" i="4" a="1"/>
  <c r="L67" i="4" a="1"/>
  <c r="L81" i="4" a="1"/>
  <c r="K158" i="4" a="1"/>
  <c r="L127" i="4" a="1"/>
  <c r="L91" i="4" a="1"/>
  <c r="J92" i="4" a="1"/>
  <c r="K99" i="4" a="1"/>
  <c r="L75" i="4" a="1"/>
  <c r="K161" i="4" a="1"/>
  <c r="L159" i="4" a="1"/>
  <c r="L106" i="4" a="1"/>
  <c r="L40" i="4" a="1"/>
  <c r="J137" i="4" a="1"/>
  <c r="K138" i="4" a="1"/>
  <c r="K164" i="4" a="1"/>
  <c r="K119" i="4" a="1"/>
  <c r="K137" i="4" a="1"/>
  <c r="J51" i="4" a="1"/>
  <c r="L110" i="4" a="1"/>
  <c r="K64" i="4" a="1"/>
  <c r="K100" i="4" a="1"/>
  <c r="L19" i="4" a="1"/>
  <c r="J104" i="4" a="1"/>
  <c r="L55" i="4" a="1"/>
  <c r="L90" i="4" a="1"/>
  <c r="L147" i="4" a="1"/>
  <c r="K146" i="4" a="1"/>
  <c r="L23" i="4" a="1"/>
  <c r="L120" i="4" a="1"/>
  <c r="J87" i="4" a="1"/>
  <c r="J122" i="4" a="1"/>
  <c r="L141" i="4" a="1"/>
  <c r="J95" i="4" a="1"/>
  <c r="K145" i="4" a="1"/>
  <c r="J96" i="4" a="1"/>
  <c r="K98" i="4" a="1"/>
  <c r="J83" i="4" a="1"/>
  <c r="J109" i="4" a="1"/>
  <c r="K4" i="4" a="1"/>
  <c r="K18" i="4" a="1"/>
  <c r="K125" i="4" a="1"/>
  <c r="L37" i="4" a="1"/>
  <c r="K155" i="4" a="1"/>
  <c r="K31" i="4" a="1"/>
  <c r="J142" i="4" a="1"/>
  <c r="L35" i="4" a="1"/>
  <c r="K153" i="4" a="1"/>
  <c r="L61" i="4" a="1"/>
  <c r="J157" i="4" a="1"/>
  <c r="J75" i="4" a="1"/>
  <c r="K57" i="4" a="1"/>
  <c r="K51" i="4" a="1"/>
  <c r="L133" i="4" a="1"/>
  <c r="K68" i="4" a="1"/>
  <c r="J159" i="4" a="1"/>
  <c r="K65" i="4" a="1"/>
  <c r="K104" i="4" a="1"/>
  <c r="K55" i="4" a="1"/>
  <c r="J46" i="4" a="1"/>
  <c r="J78" i="4" a="1"/>
  <c r="J13" i="4" a="1"/>
  <c r="J90" i="4" a="1"/>
  <c r="J59" i="4" a="1"/>
  <c r="L146" i="4" a="1"/>
  <c r="J23" i="4" a="1"/>
  <c r="K128" i="4" a="1"/>
  <c r="L87" i="4" a="1"/>
  <c r="K122" i="4" a="1"/>
  <c r="L32" i="4" a="1"/>
  <c r="L95" i="4" a="1"/>
  <c r="J145" i="4" a="1"/>
  <c r="J103" i="4" a="1"/>
  <c r="L98" i="4" a="1"/>
  <c r="J16" i="4" a="1"/>
  <c r="K11" i="4" a="1"/>
  <c r="K109" i="4" a="1"/>
  <c r="J4" i="4" a="1"/>
  <c r="L151" i="4" a="1"/>
  <c r="L18" i="4" a="1"/>
  <c r="K67" i="4" a="1"/>
  <c r="J30" i="4" a="1"/>
  <c r="K81" i="4" a="1"/>
  <c r="K37" i="4" a="1"/>
  <c r="K154" i="4" a="1"/>
  <c r="J127" i="4" a="1"/>
  <c r="L155" i="4" a="1"/>
  <c r="J44" i="4" a="1"/>
  <c r="L31" i="4" a="1"/>
  <c r="L162" i="4" a="1"/>
  <c r="J29" i="4" a="1"/>
  <c r="K142" i="4" a="1"/>
  <c r="J89" i="4" a="1"/>
  <c r="J153" i="4" a="1"/>
  <c r="L72" i="4" a="1"/>
  <c r="J99" i="4" a="1"/>
  <c r="L153" i="4" a="1"/>
  <c r="L99" i="4" a="1"/>
  <c r="L24" i="4" a="1"/>
  <c r="J61" i="4" a="1"/>
  <c r="J166" i="4" a="1"/>
  <c r="L9" i="4" a="1"/>
  <c r="L103" i="4" a="1"/>
  <c r="L164" i="4" a="1"/>
  <c r="L154" i="4" a="1"/>
  <c r="J50" i="4" a="1"/>
  <c r="L138" i="4" a="1"/>
  <c r="L48" i="4" a="1"/>
  <c r="K117" i="4" a="1"/>
  <c r="K159" i="4" a="1"/>
  <c r="J106" i="4" a="1"/>
  <c r="L34" i="4" a="1"/>
  <c r="J55" i="4" a="1"/>
  <c r="K167" i="4" a="1"/>
  <c r="K38" i="4" a="1"/>
  <c r="J84" i="4" a="1"/>
  <c r="J60" i="4" a="1"/>
  <c r="L47" i="4" a="1"/>
  <c r="J10" i="4" a="1"/>
  <c r="K90" i="4" a="1"/>
  <c r="L59" i="4" a="1"/>
  <c r="K129" i="4" a="1"/>
  <c r="K23" i="4" a="1"/>
  <c r="L128" i="4" a="1"/>
  <c r="K166" i="4" a="1"/>
  <c r="L122" i="4" a="1"/>
  <c r="J32" i="4" a="1"/>
  <c r="K9" i="4" a="1"/>
  <c r="L145" i="4" a="1"/>
  <c r="K103" i="4" a="1"/>
  <c r="K157" i="4" a="1"/>
  <c r="L16" i="4" a="1"/>
  <c r="J11" i="4" a="1"/>
  <c r="K43" i="4" a="1"/>
  <c r="L4" i="4" a="1"/>
  <c r="J151" i="4" a="1"/>
  <c r="K48" i="4" a="1"/>
  <c r="J67" i="4" a="1"/>
  <c r="K30" i="4" a="1"/>
  <c r="K75" i="4" a="1"/>
  <c r="J37" i="4" a="1"/>
  <c r="J154" i="4" a="1"/>
  <c r="K40" i="4" a="1"/>
  <c r="J155" i="4" a="1"/>
  <c r="K44" i="4" a="1"/>
  <c r="L117" i="4" a="1"/>
  <c r="J162" i="4" a="1"/>
  <c r="L29" i="4" a="1"/>
  <c r="J161" i="4" a="1"/>
  <c r="K89" i="4" a="1"/>
  <c r="K50" i="4" a="1"/>
  <c r="K59" i="4" a="1"/>
  <c r="J129" i="4" a="1"/>
  <c r="J128" i="4" a="1"/>
  <c r="K126" i="4" a="1"/>
  <c r="K32" i="4" a="1"/>
  <c r="J82" i="4" a="1"/>
  <c r="L11" i="4" a="1"/>
  <c r="L30" i="4" a="1"/>
  <c r="J40" i="4" a="1"/>
  <c r="L137" i="4" a="1"/>
  <c r="J9" i="4" a="1"/>
  <c r="K133" i="4" a="1"/>
  <c r="K34" i="4" a="1"/>
  <c r="L161" i="4" a="1"/>
  <c r="K61" i="4" a="1"/>
  <c r="J93" i="4" a="1"/>
  <c r="K77" i="4" a="1"/>
  <c r="L54" i="4" a="1"/>
  <c r="J85" i="4" a="1"/>
  <c r="L15" i="4" a="1"/>
  <c r="J34" i="4" a="1"/>
  <c r="J54" i="4" a="1"/>
  <c r="L85" i="4" a="1"/>
  <c r="K15" i="4" a="1"/>
  <c r="K107" i="4" a="1"/>
  <c r="K53" i="4" a="1"/>
  <c r="K53" i="4" l="1"/>
  <c r="K107" i="4"/>
  <c r="K15" i="4"/>
  <c r="L85" i="4"/>
  <c r="J54" i="4"/>
  <c r="J34" i="4"/>
  <c r="L15" i="4"/>
  <c r="J85" i="4"/>
  <c r="L54" i="4"/>
  <c r="K77" i="4"/>
  <c r="J93" i="4"/>
  <c r="K61" i="4"/>
  <c r="L161" i="4"/>
  <c r="K34" i="4"/>
  <c r="K133" i="4"/>
  <c r="J9" i="4"/>
  <c r="L137" i="4"/>
  <c r="J40" i="4"/>
  <c r="L30" i="4"/>
  <c r="L11" i="4"/>
  <c r="J82" i="4"/>
  <c r="K32" i="4"/>
  <c r="K126" i="4"/>
  <c r="J128" i="4"/>
  <c r="J129" i="4"/>
  <c r="K59" i="4"/>
  <c r="K50" i="4"/>
  <c r="K89" i="4"/>
  <c r="J161" i="4"/>
  <c r="L29" i="4"/>
  <c r="J162" i="4"/>
  <c r="L117" i="4"/>
  <c r="K44" i="4"/>
  <c r="J155" i="4"/>
  <c r="K40" i="4"/>
  <c r="J154" i="4"/>
  <c r="J37" i="4"/>
  <c r="K75" i="4"/>
  <c r="K30" i="4"/>
  <c r="J67" i="4"/>
  <c r="K48" i="4"/>
  <c r="J151" i="4"/>
  <c r="L4" i="4"/>
  <c r="K43" i="4"/>
  <c r="J11" i="4"/>
  <c r="L16" i="4"/>
  <c r="K157" i="4"/>
  <c r="K103" i="4"/>
  <c r="L145" i="4"/>
  <c r="K9" i="4"/>
  <c r="J32" i="4"/>
  <c r="L122" i="4"/>
  <c r="K166" i="4"/>
  <c r="L128" i="4"/>
  <c r="K23" i="4"/>
  <c r="K129" i="4"/>
  <c r="L59" i="4"/>
  <c r="K90" i="4"/>
  <c r="J10" i="4"/>
  <c r="L47" i="4"/>
  <c r="J60" i="4"/>
  <c r="J84" i="4"/>
  <c r="K38" i="4"/>
  <c r="K167" i="4"/>
  <c r="J55" i="4"/>
  <c r="L34" i="4"/>
  <c r="J106" i="4"/>
  <c r="K159" i="4"/>
  <c r="K117" i="4"/>
  <c r="L48" i="4"/>
  <c r="L138" i="4"/>
  <c r="J50" i="4"/>
  <c r="L154" i="4"/>
  <c r="L164" i="4"/>
  <c r="L103" i="4"/>
  <c r="L9" i="4"/>
  <c r="J166" i="4"/>
  <c r="J61" i="4"/>
  <c r="L24" i="4"/>
  <c r="L99" i="4"/>
  <c r="L153" i="4"/>
  <c r="J99" i="4"/>
  <c r="L72" i="4"/>
  <c r="J153" i="4"/>
  <c r="J89" i="4"/>
  <c r="K142" i="4"/>
  <c r="J29" i="4"/>
  <c r="L162" i="4"/>
  <c r="L31" i="4"/>
  <c r="J44" i="4"/>
  <c r="L155" i="4"/>
  <c r="J127" i="4"/>
  <c r="K154" i="4"/>
  <c r="K37" i="4"/>
  <c r="K81" i="4"/>
  <c r="J30" i="4"/>
  <c r="K67" i="4"/>
  <c r="L18" i="4"/>
  <c r="L151" i="4"/>
  <c r="J4" i="4"/>
  <c r="K109" i="4"/>
  <c r="K11" i="4"/>
  <c r="J16" i="4"/>
  <c r="L98" i="4"/>
  <c r="J103" i="4"/>
  <c r="J145" i="4"/>
  <c r="L95" i="4"/>
  <c r="L32" i="4"/>
  <c r="K122" i="4"/>
  <c r="L87" i="4"/>
  <c r="K128" i="4"/>
  <c r="J23" i="4"/>
  <c r="L146" i="4"/>
  <c r="J59" i="4"/>
  <c r="J90" i="4"/>
  <c r="J13" i="4"/>
  <c r="J78" i="4"/>
  <c r="J46" i="4"/>
  <c r="K55" i="4"/>
  <c r="K104" i="4"/>
  <c r="K65" i="4"/>
  <c r="J159" i="4"/>
  <c r="K68" i="4"/>
  <c r="L133" i="4"/>
  <c r="K51" i="4"/>
  <c r="K57" i="4"/>
  <c r="J75" i="4"/>
  <c r="J157" i="4"/>
  <c r="L61" i="4"/>
  <c r="K153" i="4"/>
  <c r="L35" i="4"/>
  <c r="J142" i="4"/>
  <c r="K31" i="4"/>
  <c r="K155" i="4"/>
  <c r="L37" i="4"/>
  <c r="K125" i="4"/>
  <c r="K18" i="4"/>
  <c r="K4" i="4"/>
  <c r="J109" i="4"/>
  <c r="J83" i="4"/>
  <c r="K98" i="4"/>
  <c r="J96" i="4"/>
  <c r="K145" i="4"/>
  <c r="J95" i="4"/>
  <c r="L141" i="4"/>
  <c r="J122" i="4"/>
  <c r="J87" i="4"/>
  <c r="L120" i="4"/>
  <c r="L23" i="4"/>
  <c r="K146" i="4"/>
  <c r="L147" i="4"/>
  <c r="L90" i="4"/>
  <c r="L55" i="4"/>
  <c r="J104" i="4"/>
  <c r="L19" i="4"/>
  <c r="K100" i="4"/>
  <c r="K64" i="4"/>
  <c r="L110" i="4"/>
  <c r="J51" i="4"/>
  <c r="K137" i="4"/>
  <c r="K119" i="4"/>
  <c r="K164" i="4"/>
  <c r="K138" i="4"/>
  <c r="J137" i="4"/>
  <c r="L40" i="4"/>
  <c r="L106" i="4"/>
  <c r="L159" i="4"/>
  <c r="K161" i="4"/>
  <c r="L75" i="4"/>
  <c r="K99" i="4"/>
  <c r="J92" i="4"/>
  <c r="L91" i="4"/>
  <c r="L127" i="4"/>
  <c r="K158" i="4"/>
  <c r="L81" i="4"/>
  <c r="L67" i="4"/>
  <c r="L17" i="4"/>
  <c r="K16" i="4"/>
  <c r="J94" i="4"/>
  <c r="K72" i="4"/>
  <c r="K70" i="4"/>
  <c r="K149" i="4"/>
  <c r="L142" i="4"/>
  <c r="L92" i="4"/>
  <c r="L86" i="4"/>
  <c r="J31" i="4"/>
  <c r="K91" i="4"/>
  <c r="L121" i="4"/>
  <c r="K127" i="4"/>
  <c r="L158" i="4"/>
  <c r="K62" i="4"/>
  <c r="J81" i="4"/>
  <c r="J125" i="4"/>
  <c r="L152" i="4"/>
  <c r="J18" i="4"/>
  <c r="J17" i="4"/>
  <c r="L80" i="4"/>
  <c r="L109" i="4"/>
  <c r="L83" i="4"/>
  <c r="K134" i="4"/>
  <c r="J98" i="4"/>
  <c r="K96" i="4"/>
  <c r="K45" i="4"/>
  <c r="K95" i="4"/>
  <c r="K141" i="4"/>
  <c r="K63" i="4"/>
  <c r="K87" i="4"/>
  <c r="K120" i="4"/>
  <c r="L3" i="4"/>
  <c r="J146" i="4"/>
  <c r="J147" i="4"/>
  <c r="J76" i="4"/>
  <c r="J25" i="4"/>
  <c r="J42" i="4"/>
  <c r="J167" i="4"/>
  <c r="J165" i="4"/>
  <c r="L139" i="4"/>
  <c r="L135" i="4"/>
  <c r="J138" i="4"/>
  <c r="K74" i="4"/>
  <c r="J15" i="4"/>
  <c r="L100" i="4"/>
  <c r="J68" i="4"/>
  <c r="J164" i="4"/>
  <c r="J126" i="4"/>
  <c r="L44" i="4"/>
  <c r="K93" i="4"/>
  <c r="L149" i="4"/>
  <c r="J121" i="4"/>
  <c r="K152" i="4"/>
  <c r="L134" i="4"/>
  <c r="L96" i="4"/>
  <c r="K69" i="4"/>
  <c r="J120" i="4"/>
  <c r="L163" i="4"/>
  <c r="K147" i="4"/>
  <c r="L76" i="4"/>
  <c r="K36" i="4"/>
  <c r="J135" i="4"/>
  <c r="K143" i="4"/>
  <c r="K10" i="4"/>
  <c r="L78" i="4"/>
  <c r="J113" i="4"/>
  <c r="L84" i="4"/>
  <c r="K42" i="4"/>
  <c r="L126" i="4"/>
  <c r="L50" i="4"/>
  <c r="J119" i="4"/>
  <c r="J43" i="4"/>
  <c r="K124" i="4"/>
  <c r="L74" i="4"/>
  <c r="K151" i="4"/>
  <c r="J70" i="4"/>
  <c r="L70" i="4"/>
  <c r="L156" i="4"/>
  <c r="K41" i="4"/>
  <c r="K71" i="4"/>
  <c r="J140" i="4"/>
  <c r="L116" i="4"/>
  <c r="K94" i="4"/>
  <c r="L114" i="4"/>
  <c r="J123" i="4"/>
  <c r="J149" i="4"/>
  <c r="K49" i="4"/>
  <c r="J108" i="4"/>
  <c r="K86" i="4"/>
  <c r="K156" i="4"/>
  <c r="L131" i="4"/>
  <c r="K121" i="4"/>
  <c r="L118" i="4"/>
  <c r="L5" i="4"/>
  <c r="J62" i="4"/>
  <c r="J41" i="4"/>
  <c r="K33" i="4"/>
  <c r="J152" i="4"/>
  <c r="J7" i="4"/>
  <c r="J136" i="4"/>
  <c r="J80" i="4"/>
  <c r="J71" i="4"/>
  <c r="J112" i="4"/>
  <c r="J134" i="4"/>
  <c r="L105" i="4"/>
  <c r="J101" i="4"/>
  <c r="L45" i="4"/>
  <c r="J69" i="4"/>
  <c r="K144" i="4"/>
  <c r="L63" i="4"/>
  <c r="L140" i="4"/>
  <c r="L39" i="4"/>
  <c r="K3" i="4"/>
  <c r="K163" i="4"/>
  <c r="J132" i="4"/>
  <c r="K76" i="4"/>
  <c r="L64" i="4"/>
  <c r="J110" i="4"/>
  <c r="L113" i="4"/>
  <c r="K58" i="4"/>
  <c r="J133" i="4"/>
  <c r="L124" i="4"/>
  <c r="L58" i="4"/>
  <c r="L38" i="4"/>
  <c r="J124" i="4"/>
  <c r="J58" i="4"/>
  <c r="K35" i="4"/>
  <c r="L129" i="4"/>
  <c r="K29" i="4"/>
  <c r="J48" i="4"/>
  <c r="J72" i="4"/>
  <c r="L94" i="4"/>
  <c r="K92" i="4"/>
  <c r="J158" i="4"/>
  <c r="L7" i="4"/>
  <c r="J63" i="4"/>
  <c r="J116" i="4"/>
  <c r="J22" i="4"/>
  <c r="K114" i="4"/>
  <c r="K123" i="4"/>
  <c r="L56" i="4"/>
  <c r="J49" i="4"/>
  <c r="K108" i="4"/>
  <c r="L12" i="4"/>
  <c r="J156" i="4"/>
  <c r="J131" i="4"/>
  <c r="K73" i="4"/>
  <c r="J118" i="4"/>
  <c r="K5" i="4"/>
  <c r="J148" i="4"/>
  <c r="L41" i="4"/>
  <c r="J33" i="4"/>
  <c r="K111" i="4"/>
  <c r="K7" i="4"/>
  <c r="K136" i="4"/>
  <c r="K160" i="4"/>
  <c r="L71" i="4"/>
  <c r="L112" i="4"/>
  <c r="J97" i="4"/>
  <c r="K105" i="4"/>
  <c r="L101" i="4"/>
  <c r="L79" i="4"/>
  <c r="L69" i="4"/>
  <c r="J144" i="4"/>
  <c r="J21" i="4"/>
  <c r="K140" i="4"/>
  <c r="K39" i="4"/>
  <c r="J28" i="4"/>
  <c r="J163" i="4"/>
  <c r="L132" i="4"/>
  <c r="K6" i="4"/>
  <c r="K139" i="4"/>
  <c r="J66" i="4"/>
  <c r="L51" i="4"/>
  <c r="L130" i="4"/>
  <c r="K106" i="4"/>
  <c r="J100" i="4"/>
  <c r="J64" i="4"/>
  <c r="K110" i="4"/>
  <c r="K82" i="4"/>
  <c r="K54" i="4"/>
  <c r="L77" i="4"/>
  <c r="L93" i="4"/>
  <c r="L166" i="4"/>
  <c r="J117" i="4"/>
  <c r="L157" i="4"/>
  <c r="J114" i="4"/>
  <c r="J86" i="4"/>
  <c r="L62" i="4"/>
  <c r="K80" i="4"/>
  <c r="J141" i="4"/>
  <c r="L22" i="4"/>
  <c r="L123" i="4"/>
  <c r="L108" i="4"/>
  <c r="K131" i="4"/>
  <c r="J5" i="4"/>
  <c r="L33" i="4"/>
  <c r="L136" i="4"/>
  <c r="K112" i="4"/>
  <c r="K101" i="4"/>
  <c r="L21" i="4"/>
  <c r="L28" i="4"/>
  <c r="L6" i="4"/>
  <c r="K165" i="4"/>
  <c r="K84" i="4"/>
  <c r="K130" i="4"/>
  <c r="J102" i="4"/>
  <c r="J65" i="4"/>
  <c r="K52" i="4"/>
  <c r="K88" i="4"/>
  <c r="K150" i="4"/>
  <c r="L25" i="4"/>
  <c r="L68" i="4"/>
  <c r="L42" i="4"/>
  <c r="J19" i="4"/>
  <c r="L115" i="4"/>
  <c r="L88" i="4"/>
  <c r="J150" i="4"/>
  <c r="J57" i="4"/>
  <c r="J130" i="4"/>
  <c r="J35" i="4"/>
  <c r="L65" i="4"/>
  <c r="J115" i="4"/>
  <c r="L167" i="4"/>
  <c r="K24" i="4"/>
  <c r="J74" i="4"/>
  <c r="J38" i="4"/>
  <c r="K115" i="4"/>
  <c r="L82" i="4"/>
  <c r="J24" i="4"/>
  <c r="L57" i="4"/>
  <c r="L119" i="4"/>
  <c r="J77" i="4"/>
  <c r="L43" i="4"/>
  <c r="L89" i="4"/>
  <c r="K162" i="4"/>
  <c r="L49" i="4"/>
  <c r="J91" i="4"/>
  <c r="K118" i="4"/>
  <c r="L125" i="4"/>
  <c r="K17" i="4"/>
  <c r="K83" i="4"/>
  <c r="J105" i="4"/>
  <c r="J45" i="4"/>
  <c r="J3" i="4"/>
  <c r="K116" i="4"/>
  <c r="J53" i="4"/>
  <c r="J56" i="4"/>
  <c r="L13" i="4"/>
  <c r="K12" i="4"/>
  <c r="L36" i="4"/>
  <c r="J73" i="4"/>
  <c r="J107" i="4"/>
  <c r="L148" i="4"/>
  <c r="K102" i="4"/>
  <c r="L111" i="4"/>
  <c r="J47" i="4"/>
  <c r="J160" i="4"/>
  <c r="K66" i="4"/>
  <c r="L97" i="4"/>
  <c r="J52" i="4"/>
  <c r="J79" i="4"/>
  <c r="K46" i="4"/>
  <c r="L144" i="4"/>
  <c r="L143" i="4"/>
  <c r="J39" i="4"/>
  <c r="K60" i="4"/>
  <c r="K132" i="4"/>
  <c r="L165" i="4"/>
  <c r="K22" i="4"/>
  <c r="L53" i="4"/>
  <c r="K25" i="4"/>
  <c r="K56" i="4"/>
  <c r="K13" i="4"/>
  <c r="L10" i="4"/>
  <c r="J12" i="4"/>
  <c r="J36" i="4"/>
  <c r="J139" i="4"/>
  <c r="L73" i="4"/>
  <c r="L107" i="4"/>
  <c r="L104" i="4"/>
  <c r="K148" i="4"/>
  <c r="L102" i="4"/>
  <c r="K78" i="4"/>
  <c r="J111" i="4"/>
  <c r="K47" i="4"/>
  <c r="K135" i="4"/>
  <c r="L160" i="4"/>
  <c r="L66" i="4"/>
  <c r="K19" i="4"/>
  <c r="K97" i="4"/>
  <c r="L52" i="4"/>
  <c r="J88" i="4"/>
  <c r="K79" i="4"/>
  <c r="L46" i="4"/>
  <c r="K85" i="4"/>
  <c r="K21" i="4"/>
  <c r="J143" i="4"/>
  <c r="K113" i="4"/>
  <c r="K28" i="4"/>
  <c r="L60" i="4"/>
  <c r="L150" i="4"/>
  <c r="J6" i="4"/>
  <c r="O6" i="4" a="1"/>
  <c r="O4" i="4" a="1"/>
  <c r="O3" i="4" a="1"/>
  <c r="O5" i="4" a="1"/>
  <c r="O7" i="4" a="1"/>
  <c r="O7" i="4" l="1"/>
  <c r="O5" i="4"/>
  <c r="O3" i="4"/>
  <c r="O4" i="4"/>
  <c r="O6" i="4"/>
  <c r="P7" i="4" a="1"/>
  <c r="P5" i="4" a="1"/>
  <c r="P6" i="4" a="1"/>
  <c r="P4" i="4" a="1"/>
  <c r="P3" i="4" a="1"/>
  <c r="P6" i="4" l="1"/>
  <c r="P4" i="4"/>
  <c r="P3" i="4"/>
  <c r="P5" i="4"/>
  <c r="P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<sst xmlns="http://schemas.openxmlformats.org/spreadsheetml/2006/main" count="690" uniqueCount="686">
  <si>
    <t>Name</t>
  </si>
  <si>
    <t>Primary</t>
  </si>
  <si>
    <t>Secondary</t>
  </si>
  <si>
    <t>Accent</t>
  </si>
  <si>
    <t>Info</t>
  </si>
  <si>
    <t>Success</t>
  </si>
  <si>
    <t>DodgerBlue</t>
  </si>
  <si>
    <t>LightBlue</t>
  </si>
  <si>
    <t>AliceBlue</t>
  </si>
  <si>
    <t>Mute</t>
  </si>
  <si>
    <t>Alarm</t>
  </si>
  <si>
    <t>Warn</t>
  </si>
  <si>
    <t>OrangeRed</t>
  </si>
  <si>
    <t>MistyRose</t>
  </si>
  <si>
    <t>Firebrick</t>
  </si>
  <si>
    <t>Gold</t>
  </si>
  <si>
    <t>LemonChiffon</t>
  </si>
  <si>
    <t>Public Const DANGER As Long = 9406186</t>
  </si>
  <si>
    <t>Public Const WARNING As Long = 7002879</t>
  </si>
  <si>
    <t>Public Const SUCCESS As Long = 6269045</t>
  </si>
  <si>
    <t>Public Const PRIMARY As Long = 16689262</t>
  </si>
  <si>
    <t>Public Const SECONDARY As Long = 11644071</t>
  </si>
  <si>
    <t>Public Const DANGER_LIGHT As Long = 14342136</t>
  </si>
  <si>
    <t>Public Const WARNING_LIGHT As Long = 13497343</t>
  </si>
  <si>
    <t>Public Const SUCCESS_LIGHT As Long = 14542801</t>
  </si>
  <si>
    <t>Public Const PRIMARY_LIGHT As Long = 16769743</t>
  </si>
  <si>
    <t>Public Const SECONDARY_LIGHT As Long = 15066082</t>
  </si>
  <si>
    <t>Public Const DANGER_DARK As Long = 1840472</t>
  </si>
  <si>
    <t>Public Const WARNING_DARK As Long = 216422</t>
  </si>
  <si>
    <t>Public Const SUCCESS_DARK As Long = 2242058</t>
  </si>
  <si>
    <t>Public Const PRIMARY_DARK As Long = 6630405</t>
  </si>
  <si>
    <t>Public Const SECONDARY_DARK As Long = 3288875</t>
  </si>
  <si>
    <t>Public Const DANGER_DARKER As Long = 919084</t>
  </si>
  <si>
    <t>Public Const WARNING_DARKER As Long = 75571</t>
  </si>
  <si>
    <t>Public Const SUCCESS_DARKER As Long = 1121029</t>
  </si>
  <si>
    <t>Public Const PRIMARY_DARKER As Long = 3349251</t>
  </si>
  <si>
    <t>Public Const SECONDARY_DARKER As Long = 1644310</t>
  </si>
  <si>
    <t>'Module that contains the 140 named webcolors as Long</t>
  </si>
  <si>
    <t>'simply add this module to your project to be able to access</t>
  </si>
  <si>
    <t>'the named colors</t>
  </si>
  <si>
    <t>'Pink colors</t>
  </si>
  <si>
    <t>Public Const MEDIUMVIOLETRED As Long = 8721863</t>
  </si>
  <si>
    <t>Public Const DEEPPINK As Long = 9639167</t>
  </si>
  <si>
    <t>Public Const PALEVIOLETRED As Long = 9662683</t>
  </si>
  <si>
    <t>Public Const HOTPINK As Long = 11823615</t>
  </si>
  <si>
    <t>Public Const LIGHTPINK As Long = 12695295</t>
  </si>
  <si>
    <t>Public Const PINK As Long = 13353215</t>
  </si>
  <si>
    <t>'Red colors</t>
  </si>
  <si>
    <t>Public Const DARKRED As Long = 139</t>
  </si>
  <si>
    <t>Public Const RED As Long = 255</t>
  </si>
  <si>
    <t>Public Const FIREBRICK As Long = 2237106</t>
  </si>
  <si>
    <t>Public Const CRIMSON As Long = 3937500</t>
  </si>
  <si>
    <t>Public Const INDIANRED As Long = 6053069</t>
  </si>
  <si>
    <t>Public Const LIGHTCORAL As Long = 8421616</t>
  </si>
  <si>
    <t>Public Const SALMON As Long = 7504122</t>
  </si>
  <si>
    <t>Public Const DARKSALMON As Long = 8034025</t>
  </si>
  <si>
    <t>Public Const LIGHTSALMON As Long = 8036607</t>
  </si>
  <si>
    <t>'Orange colors</t>
  </si>
  <si>
    <t>Public Const ORANGERED As Long = 17919</t>
  </si>
  <si>
    <t>Public Const TOMATO As Long = 4678655</t>
  </si>
  <si>
    <t>Public Const DARKORANGE As Long = 36095</t>
  </si>
  <si>
    <t>Public Const CORAL As Long = 5275647</t>
  </si>
  <si>
    <t>Public Const ORANGE As Long = 42495</t>
  </si>
  <si>
    <t>'Yellow colors</t>
  </si>
  <si>
    <t>Public Const DARKKHAKI As Long = 7059389</t>
  </si>
  <si>
    <t>Public Const GOLD As Long = 55295</t>
  </si>
  <si>
    <t>Public Const KHAKI As Long = 9234160</t>
  </si>
  <si>
    <t>Public Const PEACHPUFF As Long = 12180223</t>
  </si>
  <si>
    <t>Public Const YELLOW As Long = 65535</t>
  </si>
  <si>
    <t>Public Const PALEGOLDENROD As Long = 11200750</t>
  </si>
  <si>
    <t>Public Const MOCCASIN As Long = 11920639</t>
  </si>
  <si>
    <t>Public Const PAPAYAWHIP As Long = 14020607</t>
  </si>
  <si>
    <t>Public Const LIGHTGOLDENRODYELLOW As Long = 13826810</t>
  </si>
  <si>
    <t>Public Const LEMONCHIFFON As Long = 13499135</t>
  </si>
  <si>
    <t>Public Const LIGHTYELLOW As Long = 14745599</t>
  </si>
  <si>
    <t>'Brown colors</t>
  </si>
  <si>
    <t>Public Const MAROON As Long = 128</t>
  </si>
  <si>
    <t>Public Const BROWN As Long = 2763429</t>
  </si>
  <si>
    <t>Public Const SADDLEBROWN As Long = 1262987</t>
  </si>
  <si>
    <t>Public Const SIENNA As Long = 2970272</t>
  </si>
  <si>
    <t>Public Const CHOCOLATE As Long = 1993170</t>
  </si>
  <si>
    <t>Public Const DARKGOLDENROD As Long = 755384</t>
  </si>
  <si>
    <t>Public Const PERU As Long = 4163021</t>
  </si>
  <si>
    <t>Public Const ROSYBROWN As Long = 9408444</t>
  </si>
  <si>
    <t>Public Const GOLDENROD As Long = 2139610</t>
  </si>
  <si>
    <t>Public Const SANDYBROWN As Long = 6333684</t>
  </si>
  <si>
    <t>Public Const TAN As Long = 9221330</t>
  </si>
  <si>
    <t>Public Const BURLYWOOD As Long = 8894686</t>
  </si>
  <si>
    <t>Public Const WHEAT As Long = 11788021</t>
  </si>
  <si>
    <t>Public Const NAVAJOWHITE As Long = 11394815</t>
  </si>
  <si>
    <t>Public Const BISQUE As Long = 12903679</t>
  </si>
  <si>
    <t>Public Const BLANCHEDALMOND As Long = 13495295</t>
  </si>
  <si>
    <t>Public Const CORNSILK As Long = 14481663</t>
  </si>
  <si>
    <t>'Purple and magenta colors</t>
  </si>
  <si>
    <t>Public Const INDIGO As Long = 8519755</t>
  </si>
  <si>
    <t>Public Const PURPLE As Long = 8388736</t>
  </si>
  <si>
    <t>Public Const DARKMAGENTA As Long = 9109643</t>
  </si>
  <si>
    <t>Public Const DARKVIOLET As Long = 13828244</t>
  </si>
  <si>
    <t>Public Const DARKSLATEBLUE As Long = 9125192</t>
  </si>
  <si>
    <t>Public Const BLUEVIOLET As Long = 14822282</t>
  </si>
  <si>
    <t>Public Const DARKORCHID As Long = 13382297</t>
  </si>
  <si>
    <t>Public Const FUCHSIA As Long = 16711935</t>
  </si>
  <si>
    <t>Public Const MAGENTA As Long = 16711935</t>
  </si>
  <si>
    <t>Public Const SLATEBLUE As Long = 13458026</t>
  </si>
  <si>
    <t>Public Const MEDIUMSLATEBLUE As Long = 15624315</t>
  </si>
  <si>
    <t>Public Const MEDIUMORCHID As Long = 13850042</t>
  </si>
  <si>
    <t>Public Const MEDIUMPURPLE As Long = 14381203</t>
  </si>
  <si>
    <t>Public Const ORCHID As Long = 14053594</t>
  </si>
  <si>
    <t>Public Const VIOLET As Long = 15631086</t>
  </si>
  <si>
    <t>Public Const PLUM As Long = 14524637</t>
  </si>
  <si>
    <t>Public Const THISTLE As Long = 14204888</t>
  </si>
  <si>
    <t>Public Const LAVENDER As Long = 16443110</t>
  </si>
  <si>
    <t>'Blue colors</t>
  </si>
  <si>
    <t>Public Const MIDNIGHTBLUE As Long = 7346457</t>
  </si>
  <si>
    <t>Public Const NAVY As Long = 8388608</t>
  </si>
  <si>
    <t>Public Const DARKBLUE As Long = 9109504</t>
  </si>
  <si>
    <t>Public Const MEDIUMBLUE As Long = 13434880</t>
  </si>
  <si>
    <t>Public Const BLUE As Long = 16711680</t>
  </si>
  <si>
    <t>Public Const ROYALBLUE As Long = 14772545</t>
  </si>
  <si>
    <t>Public Const STEELBLUE As Long = 11829830</t>
  </si>
  <si>
    <t>Public Const DODGERBLUE As Long = 16748574</t>
  </si>
  <si>
    <t>Public Const DEEPSKYBLUE As Long = 16760576</t>
  </si>
  <si>
    <t>Public Const CORNFLOWERBLUE As Long = 15570276</t>
  </si>
  <si>
    <t>Public Const SKYBLUE As Long = 15453831</t>
  </si>
  <si>
    <t>Public Const LIGHTSKYBLUE As Long = 16436871</t>
  </si>
  <si>
    <t>Public Const LIGHTSTEELBLUE As Long = 14599344</t>
  </si>
  <si>
    <t>Public Const LIGHTBLUE As Long = 15128749</t>
  </si>
  <si>
    <t>Public Const POWDERBLUE As Long = 15130800</t>
  </si>
  <si>
    <t>'Cyan colors</t>
  </si>
  <si>
    <t>Public Const TEAL As Long = 8421376</t>
  </si>
  <si>
    <t>Public Const DARKCYAN As Long = 9145088</t>
  </si>
  <si>
    <t>Public Const LIGHTSEAGREEN As Long = 11186720</t>
  </si>
  <si>
    <t>Public Const CADETBLUE As Long = 10526303</t>
  </si>
  <si>
    <t>Public Const DARKTURQUOISE As Long = 13749760</t>
  </si>
  <si>
    <t>Public Const MEDIUMTURQUOISE As Long = 13422920</t>
  </si>
  <si>
    <t>Public Const TURQUOISE As Long = 13688896</t>
  </si>
  <si>
    <t>Public Const AQUA As Long = 16776960</t>
  </si>
  <si>
    <t>Public Const CYAN As Long = 16776960</t>
  </si>
  <si>
    <t>Public Const AQUAMARINE As Long = 13959039</t>
  </si>
  <si>
    <t>Public Const PALETURQUOISE As Long = 15658671</t>
  </si>
  <si>
    <t>Public Const LIGHTCYAN As Long = 16777184</t>
  </si>
  <si>
    <t>'Green colors</t>
  </si>
  <si>
    <t>Public Const DARKGREEN As Long = 25600</t>
  </si>
  <si>
    <t>Public Const GREEN As Long = 32768</t>
  </si>
  <si>
    <t>Public Const DARKOLIVEGREEN As Long = 3107669</t>
  </si>
  <si>
    <t>Public Const FORESTGREEN As Long = 2263842</t>
  </si>
  <si>
    <t>Public Const SEAGREEN As Long = 5737262</t>
  </si>
  <si>
    <t>Public Const OLIVE As Long = 32896</t>
  </si>
  <si>
    <t>Public Const OLIVEDRAB As Long = 2330219</t>
  </si>
  <si>
    <t>Public Const MEDIUMSEAGREEN As Long = 7451452</t>
  </si>
  <si>
    <t>Public Const LIMEGREEN As Long = 3329330</t>
  </si>
  <si>
    <t>Public Const LIME As Long = 65280</t>
  </si>
  <si>
    <t>Public Const SPRINGGREEN As Long = 8388352</t>
  </si>
  <si>
    <t>Public Const MEDIUMSPRINGGREEN As Long = 10156544</t>
  </si>
  <si>
    <t>Public Const DARKSEAGREEN As Long = 9419919</t>
  </si>
  <si>
    <t>Public Const MEDIUMAQUAMARINE As Long = 11193702</t>
  </si>
  <si>
    <t>Public Const YELLOWGREEN As Long = 3329434</t>
  </si>
  <si>
    <t>Public Const LAWNGREEN As Long = 64636</t>
  </si>
  <si>
    <t>Public Const CHARTREUSE As Long = 65407</t>
  </si>
  <si>
    <t>Public Const LIGHTGREEN As Long = 9498256</t>
  </si>
  <si>
    <t>Public Const GREENYELLOW As Long = 3145645</t>
  </si>
  <si>
    <t>Public Const PALEGREEN As Long = 10025880</t>
  </si>
  <si>
    <t>'White colors</t>
  </si>
  <si>
    <t>Public Const MISTYROSE As Long = 14804223</t>
  </si>
  <si>
    <t>Public Const ANTIQUEWHITE As Long = 14150650</t>
  </si>
  <si>
    <t>Public Const LINEN As Long = 15134970</t>
  </si>
  <si>
    <t>Public Const BEIGE As Long = 14480885</t>
  </si>
  <si>
    <t>Public Const WHITESMOKE As Long = 16119285</t>
  </si>
  <si>
    <t>Public Const LAVENDERBLUSH As Long = 16118015</t>
  </si>
  <si>
    <t>Public Const OLDLACE As Long = 15136253</t>
  </si>
  <si>
    <t>Public Const ALICEBLUE As Long = 16775408</t>
  </si>
  <si>
    <t>Public Const SEASHELL As Long = 15660543</t>
  </si>
  <si>
    <t>Public Const GHOSTWHITE As Long = 16775416</t>
  </si>
  <si>
    <t>Public Const HONEYDEW As Long = 15794160</t>
  </si>
  <si>
    <t>Public Const FLORALWHITE As Long = 15792895</t>
  </si>
  <si>
    <t>Public Const AZURE As Long = 16777200</t>
  </si>
  <si>
    <t>Public Const MINTCREAM As Long = 16449525</t>
  </si>
  <si>
    <t>Public Const SNOW As Long = 16448255</t>
  </si>
  <si>
    <t>Public Const IVORY As Long = 15794175</t>
  </si>
  <si>
    <t>Public Const WHITE As Long = 16777215</t>
  </si>
  <si>
    <t>'Black and gray colors</t>
  </si>
  <si>
    <t>Public Const BLACK As Long = 0</t>
  </si>
  <si>
    <t>Public Const DARKSLATEGRAY As Long = 5197615</t>
  </si>
  <si>
    <t>Public Const DIMGRAY As Long = 6908265</t>
  </si>
  <si>
    <t>Public Const SLATEGRAY As Long = 9470064</t>
  </si>
  <si>
    <t>Public Const GRAY As Long = 8421504</t>
  </si>
  <si>
    <t>Public Const LIGHTSLATEGRAY As Long = 10061943</t>
  </si>
  <si>
    <t>Public Const DARKGRAY As Long = 11119017</t>
  </si>
  <si>
    <t>Public Const SILVER As Long = 12632256</t>
  </si>
  <si>
    <t>Public Const LIGHTGRAY As Long = 13882323</t>
  </si>
  <si>
    <t>Public Const GAINSBORO As Long = 14474460</t>
  </si>
  <si>
    <t>GoldenRod</t>
  </si>
  <si>
    <t>Color Name</t>
  </si>
  <si>
    <t>Long</t>
  </si>
  <si>
    <t>RGB</t>
  </si>
  <si>
    <t>HEX</t>
  </si>
  <si>
    <t>Hue</t>
  </si>
  <si>
    <t>Sat</t>
  </si>
  <si>
    <t>Bootstrap Colors</t>
  </si>
  <si>
    <t>DANGER</t>
  </si>
  <si>
    <t>234, 134, 143</t>
  </si>
  <si>
    <t>#EA868F</t>
  </si>
  <si>
    <t>WARNING</t>
  </si>
  <si>
    <t>255, 218, 106</t>
  </si>
  <si>
    <t>#FFDA6A</t>
  </si>
  <si>
    <t>SUCCESS</t>
  </si>
  <si>
    <t>117, 168, 95</t>
  </si>
  <si>
    <t>#75A85F</t>
  </si>
  <si>
    <t>PRIMARY</t>
  </si>
  <si>
    <t>110, 168, 254</t>
  </si>
  <si>
    <t>#6EA8FE</t>
  </si>
  <si>
    <t>SECONDARY</t>
  </si>
  <si>
    <t>167, 172, 177</t>
  </si>
  <si>
    <t>#A7ACB1</t>
  </si>
  <si>
    <t>DANGER_LIGHT</t>
  </si>
  <si>
    <t>248, 215, 218</t>
  </si>
  <si>
    <t>#F8D7DA</t>
  </si>
  <si>
    <t>WARNING_LIGHT</t>
  </si>
  <si>
    <t>255, 243, 205</t>
  </si>
  <si>
    <t>#FFF3CD</t>
  </si>
  <si>
    <t>SUCCESS_LIGHT</t>
  </si>
  <si>
    <t>209, 231, 221</t>
  </si>
  <si>
    <t>#D1E7DD</t>
  </si>
  <si>
    <t>PRIMARY_LIGHT</t>
  </si>
  <si>
    <t>207, 226, 255</t>
  </si>
  <si>
    <t>#CFE2FF</t>
  </si>
  <si>
    <t>SECONDARY_LIGHT</t>
  </si>
  <si>
    <t>226, 227, 229</t>
  </si>
  <si>
    <t>#E2E3E5</t>
  </si>
  <si>
    <t>DANGER_DARK</t>
  </si>
  <si>
    <t>88, 21, 28</t>
  </si>
  <si>
    <t>#58151C</t>
  </si>
  <si>
    <t>WARNING_DARK</t>
  </si>
  <si>
    <t>102, 77, 3</t>
  </si>
  <si>
    <t>#664D03</t>
  </si>
  <si>
    <t>SUCCESS_DARK</t>
  </si>
  <si>
    <t>10, 54, 34</t>
  </si>
  <si>
    <t>#0A3622</t>
  </si>
  <si>
    <t>PRIMARY_DARK</t>
  </si>
  <si>
    <t>5, 44, 101</t>
  </si>
  <si>
    <t>#052C65</t>
  </si>
  <si>
    <t>SECONDARY_DARK</t>
  </si>
  <si>
    <t>43, 47, 50</t>
  </si>
  <si>
    <t>#2B2F32</t>
  </si>
  <si>
    <t>DANGER_DARKER</t>
  </si>
  <si>
    <t>44, 6, 14</t>
  </si>
  <si>
    <t>#2C060E</t>
  </si>
  <si>
    <t>WARNING_DARKER</t>
  </si>
  <si>
    <t>51, 39, 1</t>
  </si>
  <si>
    <t>#332701</t>
  </si>
  <si>
    <t>SUCCESS_DARKER</t>
  </si>
  <si>
    <t>5, 27, 17</t>
  </si>
  <si>
    <t>#051B11</t>
  </si>
  <si>
    <t>PRIMARY_DARKER</t>
  </si>
  <si>
    <t>3, 27, 51</t>
  </si>
  <si>
    <t>#031B33</t>
  </si>
  <si>
    <t>SECONDARY_DARKER</t>
  </si>
  <si>
    <t>22, 23, 25</t>
  </si>
  <si>
    <t>#161719</t>
  </si>
  <si>
    <t>W3 Web Colors</t>
  </si>
  <si>
    <t>BLACK</t>
  </si>
  <si>
    <t>0, 0, 0</t>
  </si>
  <si>
    <t>#000000</t>
  </si>
  <si>
    <t>DIMGRAY</t>
  </si>
  <si>
    <t>105, 105, 105</t>
  </si>
  <si>
    <t>#696969</t>
  </si>
  <si>
    <t>GRAY</t>
  </si>
  <si>
    <t>128, 128, 128</t>
  </si>
  <si>
    <t>#808080</t>
  </si>
  <si>
    <t>DARKGRAY</t>
  </si>
  <si>
    <t>169, 169, 169</t>
  </si>
  <si>
    <t>#A9A9A9</t>
  </si>
  <si>
    <t>SILVER</t>
  </si>
  <si>
    <t>192, 192, 192</t>
  </si>
  <si>
    <t>#C0C0C0</t>
  </si>
  <si>
    <t>LIGHTGRAY</t>
  </si>
  <si>
    <t>211, 211, 211</t>
  </si>
  <si>
    <t>#D3D3D3</t>
  </si>
  <si>
    <t>GAINSBORO</t>
  </si>
  <si>
    <t>220, 220, 220</t>
  </si>
  <si>
    <t>#DCDCDC</t>
  </si>
  <si>
    <t>WHITESMOKE</t>
  </si>
  <si>
    <t>245, 245, 245</t>
  </si>
  <si>
    <t>#F5F5F5</t>
  </si>
  <si>
    <t>WHITE</t>
  </si>
  <si>
    <t>255, 255, 255</t>
  </si>
  <si>
    <t>#FFFFFF</t>
  </si>
  <si>
    <t>SNOW</t>
  </si>
  <si>
    <t>255, 250, 250</t>
  </si>
  <si>
    <t>#FFFAFA</t>
  </si>
  <si>
    <t>ROSYBROWN</t>
  </si>
  <si>
    <t>188, 143, 143</t>
  </si>
  <si>
    <t>#BC8F8F</t>
  </si>
  <si>
    <t>LIGHTCORAL</t>
  </si>
  <si>
    <t>240, 128, 128</t>
  </si>
  <si>
    <t>#F08080</t>
  </si>
  <si>
    <t>INDIANRED</t>
  </si>
  <si>
    <t>205, 92, 92</t>
  </si>
  <si>
    <t>#CD5C5C</t>
  </si>
  <si>
    <t>BROWN</t>
  </si>
  <si>
    <t>165, 42, 42</t>
  </si>
  <si>
    <t>#A52A2A</t>
  </si>
  <si>
    <t>FIREBRICK</t>
  </si>
  <si>
    <t>178, 34, 34</t>
  </si>
  <si>
    <t>#B22222</t>
  </si>
  <si>
    <t>MAROON</t>
  </si>
  <si>
    <t>128, 0, 0</t>
  </si>
  <si>
    <t>#800000</t>
  </si>
  <si>
    <t>DARKRED</t>
  </si>
  <si>
    <t>139, 0, 0</t>
  </si>
  <si>
    <t>#8B0000</t>
  </si>
  <si>
    <t>RED</t>
  </si>
  <si>
    <t>255, 0, 0</t>
  </si>
  <si>
    <t>#FF0000</t>
  </si>
  <si>
    <t>MISTYROSE</t>
  </si>
  <si>
    <t>255, 228, 225</t>
  </si>
  <si>
    <t>#FFE4E1</t>
  </si>
  <si>
    <t>SALMON</t>
  </si>
  <si>
    <t>250, 128, 114</t>
  </si>
  <si>
    <t>#FA8072</t>
  </si>
  <si>
    <t>TOMATO</t>
  </si>
  <si>
    <t>255, 99, 71</t>
  </si>
  <si>
    <t>#FF6347</t>
  </si>
  <si>
    <t>DARKSALMON</t>
  </si>
  <si>
    <t>233, 150, 122</t>
  </si>
  <si>
    <t>#E9967A</t>
  </si>
  <si>
    <t>CORAL</t>
  </si>
  <si>
    <t>255, 127, 80</t>
  </si>
  <si>
    <t>#FF7F50</t>
  </si>
  <si>
    <t>ORANGERED</t>
  </si>
  <si>
    <t>255, 69, 0</t>
  </si>
  <si>
    <t>#FF4500</t>
  </si>
  <si>
    <t>LIGHTSALMON</t>
  </si>
  <si>
    <t>255, 160, 122</t>
  </si>
  <si>
    <t>#FFA07A</t>
  </si>
  <si>
    <t>SIENNA</t>
  </si>
  <si>
    <t>160, 82, 45</t>
  </si>
  <si>
    <t>#A0522D</t>
  </si>
  <si>
    <t>SEASHELL</t>
  </si>
  <si>
    <t>255, 245, 238</t>
  </si>
  <si>
    <t>#FFF5EE</t>
  </si>
  <si>
    <t>CHOCOLATE</t>
  </si>
  <si>
    <t>210, 105, 30</t>
  </si>
  <si>
    <t>#D2691E</t>
  </si>
  <si>
    <t>SADDLEBROWN</t>
  </si>
  <si>
    <t>139, 69, 19</t>
  </si>
  <si>
    <t>#8B4513</t>
  </si>
  <si>
    <t>SANDYBROWN</t>
  </si>
  <si>
    <t>244, 164, 96</t>
  </si>
  <si>
    <t>#F4A460</t>
  </si>
  <si>
    <t>PEACHPUFF</t>
  </si>
  <si>
    <t>255, 218, 185</t>
  </si>
  <si>
    <t>#FFDAB9</t>
  </si>
  <si>
    <t>PERU</t>
  </si>
  <si>
    <t>205, 133, 63</t>
  </si>
  <si>
    <t>#CD853F</t>
  </si>
  <si>
    <t>LINEN</t>
  </si>
  <si>
    <t>250, 240, 230</t>
  </si>
  <si>
    <t>#FAF0E6</t>
  </si>
  <si>
    <t>BISQUE</t>
  </si>
  <si>
    <t>255, 228, 196</t>
  </si>
  <si>
    <t>#FFE4C4</t>
  </si>
  <si>
    <t>DARKORANGE</t>
  </si>
  <si>
    <t>255, 140, 0</t>
  </si>
  <si>
    <t>#FF8C00</t>
  </si>
  <si>
    <t>BURLYWOOD</t>
  </si>
  <si>
    <t>222, 184, 135</t>
  </si>
  <si>
    <t>#DEB887</t>
  </si>
  <si>
    <t>ANTIQUEWHITE</t>
  </si>
  <si>
    <t>250, 235, 215</t>
  </si>
  <si>
    <t>#FAEBD7</t>
  </si>
  <si>
    <t>TAN</t>
  </si>
  <si>
    <t>210, 180, 140</t>
  </si>
  <si>
    <t>#D2B48C</t>
  </si>
  <si>
    <t>NAVAJOWHITE</t>
  </si>
  <si>
    <t>255, 222, 173</t>
  </si>
  <si>
    <t>#FFDEAD</t>
  </si>
  <si>
    <t>BLANCHEDALMOND</t>
  </si>
  <si>
    <t>255, 235, 205</t>
  </si>
  <si>
    <t>#FFEBCD</t>
  </si>
  <si>
    <t>PAPAYAWHIP</t>
  </si>
  <si>
    <t>255, 239, 213</t>
  </si>
  <si>
    <t>#FFEFD5</t>
  </si>
  <si>
    <t>MOCCASIN</t>
  </si>
  <si>
    <t>255, 228, 181</t>
  </si>
  <si>
    <t>#FFE4B5</t>
  </si>
  <si>
    <t>ORANGE</t>
  </si>
  <si>
    <t>255, 165, 0</t>
  </si>
  <si>
    <t>#FFA500</t>
  </si>
  <si>
    <t>WHEAT</t>
  </si>
  <si>
    <t>245, 222, 179</t>
  </si>
  <si>
    <t>#F5DEB3</t>
  </si>
  <si>
    <t>OLDLACE</t>
  </si>
  <si>
    <t>253, 245, 230</t>
  </si>
  <si>
    <t>#FDF5E6</t>
  </si>
  <si>
    <t>FLORALWHITE</t>
  </si>
  <si>
    <t>255, 250, 240</t>
  </si>
  <si>
    <t>#FFFAF0</t>
  </si>
  <si>
    <t>DARKGOLDENROD</t>
  </si>
  <si>
    <t>184, 134, 11</t>
  </si>
  <si>
    <t>#B8860B</t>
  </si>
  <si>
    <t>GOLDENROD</t>
  </si>
  <si>
    <t>218, 165, 32</t>
  </si>
  <si>
    <t>#DAA520</t>
  </si>
  <si>
    <t>CORNSILK</t>
  </si>
  <si>
    <t>255, 248, 220</t>
  </si>
  <si>
    <t>#FFF8DC</t>
  </si>
  <si>
    <t>GOLD</t>
  </si>
  <si>
    <t>255, 215, 0</t>
  </si>
  <si>
    <t>#FFD700</t>
  </si>
  <si>
    <t>LEMONCHIFFON</t>
  </si>
  <si>
    <t>255, 250, 205</t>
  </si>
  <si>
    <t>#FFFACD</t>
  </si>
  <si>
    <t>KHAKI</t>
  </si>
  <si>
    <t>240, 230, 140</t>
  </si>
  <si>
    <t>#F0E68C</t>
  </si>
  <si>
    <t>PALEGOLDENROD</t>
  </si>
  <si>
    <t>238, 232, 170</t>
  </si>
  <si>
    <t>#EEE8AA</t>
  </si>
  <si>
    <t>DARKKHAKI</t>
  </si>
  <si>
    <t>189, 183, 107</t>
  </si>
  <si>
    <t>#BDB76B</t>
  </si>
  <si>
    <t>IVORY</t>
  </si>
  <si>
    <t>255, 255, 240</t>
  </si>
  <si>
    <t>#FFFFF0</t>
  </si>
  <si>
    <t>BEIGE</t>
  </si>
  <si>
    <t>245, 245, 220</t>
  </si>
  <si>
    <t>#F5F5DC</t>
  </si>
  <si>
    <t>LIGHTYELLOW</t>
  </si>
  <si>
    <t>255, 255, 224</t>
  </si>
  <si>
    <t>#FFFFE0</t>
  </si>
  <si>
    <t>LIGHTGOLDENRODYELLOW</t>
  </si>
  <si>
    <t>250, 250, 210</t>
  </si>
  <si>
    <t>#FAFAD2</t>
  </si>
  <si>
    <t>OLIVE</t>
  </si>
  <si>
    <t>128, 128, 0</t>
  </si>
  <si>
    <t>#808000</t>
  </si>
  <si>
    <t>YELLOW</t>
  </si>
  <si>
    <t>255, 255, 0</t>
  </si>
  <si>
    <t>#FFFF00</t>
  </si>
  <si>
    <t>OLIVEDRAB</t>
  </si>
  <si>
    <t>107, 142, 35</t>
  </si>
  <si>
    <t>#6B8E23</t>
  </si>
  <si>
    <t>YELLOWGREEN</t>
  </si>
  <si>
    <t>154, 205, 50</t>
  </si>
  <si>
    <t>#9ACD32</t>
  </si>
  <si>
    <t>DARKOLIVEGREEN</t>
  </si>
  <si>
    <t>85, 107, 47</t>
  </si>
  <si>
    <t>#556B2F</t>
  </si>
  <si>
    <t>GREENYELLOW</t>
  </si>
  <si>
    <t>173, 255, 47</t>
  </si>
  <si>
    <t>#ADFF2F</t>
  </si>
  <si>
    <t>CHARTREUSE</t>
  </si>
  <si>
    <t>127, 255, 0</t>
  </si>
  <si>
    <t>#7FFF00</t>
  </si>
  <si>
    <t>LAWNGREEN</t>
  </si>
  <si>
    <t>124, 252, 0</t>
  </si>
  <si>
    <t>#7CFC00</t>
  </si>
  <si>
    <t>HONEYDEW</t>
  </si>
  <si>
    <t>240, 255, 240</t>
  </si>
  <si>
    <t>#F0FFF0</t>
  </si>
  <si>
    <t>DARKSEAGREEN</t>
  </si>
  <si>
    <t>143, 188, 143</t>
  </si>
  <si>
    <t>#8FBC8F</t>
  </si>
  <si>
    <t>PALEGREEN</t>
  </si>
  <si>
    <t>152, 251, 152</t>
  </si>
  <si>
    <t>#98FB98</t>
  </si>
  <si>
    <t>LIGHTGREEN</t>
  </si>
  <si>
    <t>144, 238, 144</t>
  </si>
  <si>
    <t>#90EE90</t>
  </si>
  <si>
    <t>FORESTGREEN</t>
  </si>
  <si>
    <t>34, 139, 34</t>
  </si>
  <si>
    <t>#228B22</t>
  </si>
  <si>
    <t>LIMEGREEN</t>
  </si>
  <si>
    <t>50, 205, 50</t>
  </si>
  <si>
    <t>#32CD32</t>
  </si>
  <si>
    <t>DARKGREEN</t>
  </si>
  <si>
    <t>0, 100, 0</t>
  </si>
  <si>
    <t>#006400</t>
  </si>
  <si>
    <t>GREEN</t>
  </si>
  <si>
    <t>0, 128, 0</t>
  </si>
  <si>
    <t>#008000</t>
  </si>
  <si>
    <t>LIME</t>
  </si>
  <si>
    <t>0, 255, 0</t>
  </si>
  <si>
    <t>#00FF00</t>
  </si>
  <si>
    <t>SEAGREEN</t>
  </si>
  <si>
    <t>46, 139, 87</t>
  </si>
  <si>
    <t>#2E8B57</t>
  </si>
  <si>
    <t>MEDIUMSEAGREEN</t>
  </si>
  <si>
    <t>60, 179, 113</t>
  </si>
  <si>
    <t>#3CB371</t>
  </si>
  <si>
    <t>SPRINGGREEN</t>
  </si>
  <si>
    <t>0, 255, 127</t>
  </si>
  <si>
    <t>#00FF7F</t>
  </si>
  <si>
    <t>MINTCREAM</t>
  </si>
  <si>
    <t>245, 255, 250</t>
  </si>
  <si>
    <t>#F5FFFA</t>
  </si>
  <si>
    <t>MEDIUMSPRINGGREEN</t>
  </si>
  <si>
    <t>0, 250, 154</t>
  </si>
  <si>
    <t>#00FA9A</t>
  </si>
  <si>
    <t>MEDIUMAQUAMARINE</t>
  </si>
  <si>
    <t>102, 205, 170</t>
  </si>
  <si>
    <t>#66CDAA</t>
  </si>
  <si>
    <t>AQUAMARINE</t>
  </si>
  <si>
    <t>127, 255, 212</t>
  </si>
  <si>
    <t>#7FFFD4</t>
  </si>
  <si>
    <t>TURQUOISE</t>
  </si>
  <si>
    <t>64, 224, 208</t>
  </si>
  <si>
    <t>#40E0D0</t>
  </si>
  <si>
    <t>LIGHTSEAGREEN</t>
  </si>
  <si>
    <t>32, 178, 170</t>
  </si>
  <si>
    <t>#20B2AA</t>
  </si>
  <si>
    <t>MEDIUMTURQUOISE</t>
  </si>
  <si>
    <t>72, 209, 204</t>
  </si>
  <si>
    <t>#48D1CC</t>
  </si>
  <si>
    <t>AZURE</t>
  </si>
  <si>
    <t>240, 255, 255</t>
  </si>
  <si>
    <t>#F0FFFF</t>
  </si>
  <si>
    <t>LIGHTCYAN</t>
  </si>
  <si>
    <t>224, 255, 255</t>
  </si>
  <si>
    <t>#E0FFFF</t>
  </si>
  <si>
    <t>PALETURQUOISE</t>
  </si>
  <si>
    <t>175, 238, 238</t>
  </si>
  <si>
    <t>#AFEEEE</t>
  </si>
  <si>
    <t>DARKSLATEGRAY</t>
  </si>
  <si>
    <t>47, 79, 79</t>
  </si>
  <si>
    <t>#2F4F4F</t>
  </si>
  <si>
    <t>TEAL</t>
  </si>
  <si>
    <t>0, 128, 128</t>
  </si>
  <si>
    <t>#008080</t>
  </si>
  <si>
    <t>DARKCYAN</t>
  </si>
  <si>
    <t>0, 139, 139</t>
  </si>
  <si>
    <t>#008B8B</t>
  </si>
  <si>
    <t>AQUA</t>
  </si>
  <si>
    <t>0, 255, 255</t>
  </si>
  <si>
    <t>#00FFFF</t>
  </si>
  <si>
    <t>CYAN</t>
  </si>
  <si>
    <t>DARKTURQUOISE</t>
  </si>
  <si>
    <t>0, 206, 209</t>
  </si>
  <si>
    <t>#00CED1</t>
  </si>
  <si>
    <t>CADETBLUE</t>
  </si>
  <si>
    <t>95, 158, 160</t>
  </si>
  <si>
    <t>#5F9EA0</t>
  </si>
  <si>
    <t>POWDERBLUE</t>
  </si>
  <si>
    <t>176, 224, 230</t>
  </si>
  <si>
    <t>#B0E0E6</t>
  </si>
  <si>
    <t>LIGHTBLUE</t>
  </si>
  <si>
    <t>173, 216, 230</t>
  </si>
  <si>
    <t>#ADD8E6</t>
  </si>
  <si>
    <t>DEEPSKYBLUE</t>
  </si>
  <si>
    <t>0, 191, 255</t>
  </si>
  <si>
    <t>#00BFFF</t>
  </si>
  <si>
    <t>SKYBLUE</t>
  </si>
  <si>
    <t>135, 206, 235</t>
  </si>
  <si>
    <t>#87CEEB</t>
  </si>
  <si>
    <t>LIGHTSKYBLUE</t>
  </si>
  <si>
    <t>135, 206, 250</t>
  </si>
  <si>
    <t>#87CEFA</t>
  </si>
  <si>
    <t>STEELBLUE</t>
  </si>
  <si>
    <t>70, 130, 180</t>
  </si>
  <si>
    <t>#4682B4</t>
  </si>
  <si>
    <t>ALICEBLUE</t>
  </si>
  <si>
    <t>240, 248, 255</t>
  </si>
  <si>
    <t>#F0F8FF</t>
  </si>
  <si>
    <t>DODGERBLUE</t>
  </si>
  <si>
    <t>30, 144, 255</t>
  </si>
  <si>
    <t>#1E90FF</t>
  </si>
  <si>
    <t>SLATEGRAY</t>
  </si>
  <si>
    <t>112, 128, 144</t>
  </si>
  <si>
    <t>#708090</t>
  </si>
  <si>
    <t>LIGHTSLATEGRAY</t>
  </si>
  <si>
    <t>119, 136, 153</t>
  </si>
  <si>
    <t>#778899</t>
  </si>
  <si>
    <t>LIGHTSTEELBLUE</t>
  </si>
  <si>
    <t>176, 196, 222</t>
  </si>
  <si>
    <t>#B0C4DE</t>
  </si>
  <si>
    <t>CORNFLOWERBLUE</t>
  </si>
  <si>
    <t>100, 149, 237</t>
  </si>
  <si>
    <t>#6495ED</t>
  </si>
  <si>
    <t>ROYALBLUE</t>
  </si>
  <si>
    <t>65, 105, 225</t>
  </si>
  <si>
    <t>#4169E1</t>
  </si>
  <si>
    <t>GHOSTWHITE</t>
  </si>
  <si>
    <t>248, 248, 255</t>
  </si>
  <si>
    <t>#F8F8FF</t>
  </si>
  <si>
    <t>LAVENDER</t>
  </si>
  <si>
    <t>230, 230, 250</t>
  </si>
  <si>
    <t>#E6E6FA</t>
  </si>
  <si>
    <t>MIDNIGHTBLUE</t>
  </si>
  <si>
    <t>25, 25, 112</t>
  </si>
  <si>
    <t>#191970</t>
  </si>
  <si>
    <t>NAVY</t>
  </si>
  <si>
    <t>0, 0, 128</t>
  </si>
  <si>
    <t>#000080</t>
  </si>
  <si>
    <t>DARKBLUE</t>
  </si>
  <si>
    <t>0, 0, 139</t>
  </si>
  <si>
    <t>#00008B</t>
  </si>
  <si>
    <t>MEDIUMBLUE</t>
  </si>
  <si>
    <t>0, 0, 205</t>
  </si>
  <si>
    <t>#0000CD</t>
  </si>
  <si>
    <t>BLUE</t>
  </si>
  <si>
    <t>0, 0, 255</t>
  </si>
  <si>
    <t>#0000FF</t>
  </si>
  <si>
    <t>SLATEBLUE</t>
  </si>
  <si>
    <t>106, 90, 205</t>
  </si>
  <si>
    <t>#6A5ACD</t>
  </si>
  <si>
    <t>DARKSLATEBLUE</t>
  </si>
  <si>
    <t>72, 61, 139</t>
  </si>
  <si>
    <t>#483D8B</t>
  </si>
  <si>
    <t>MEDIUMSLATEBLUE</t>
  </si>
  <si>
    <t>123, 104, 238</t>
  </si>
  <si>
    <t>#7B68EE</t>
  </si>
  <si>
    <t>MEDIUMPURPLE</t>
  </si>
  <si>
    <t>147, 112, 219</t>
  </si>
  <si>
    <t>#9370DB</t>
  </si>
  <si>
    <t>BLUEVIOLET</t>
  </si>
  <si>
    <t>138, 43, 226</t>
  </si>
  <si>
    <t>#8A2BE2</t>
  </si>
  <si>
    <t>INDIGO</t>
  </si>
  <si>
    <t>75, 0, 130</t>
  </si>
  <si>
    <t>#4B0082</t>
  </si>
  <si>
    <t>DARKORCHID</t>
  </si>
  <si>
    <t>153, 50, 204</t>
  </si>
  <si>
    <t>#9932CC</t>
  </si>
  <si>
    <t>DARKVIOLET</t>
  </si>
  <si>
    <t>148, 0, 211</t>
  </si>
  <si>
    <t>#9400D3</t>
  </si>
  <si>
    <t>MEDIUMORCHID</t>
  </si>
  <si>
    <t>186, 85, 211</t>
  </si>
  <si>
    <t>#BA55D3</t>
  </si>
  <si>
    <t>THISTLE</t>
  </si>
  <si>
    <t>216, 191, 216</t>
  </si>
  <si>
    <t>#D8BFD8</t>
  </si>
  <si>
    <t>PLUM</t>
  </si>
  <si>
    <t>221, 160, 221</t>
  </si>
  <si>
    <t>#DDA0DD</t>
  </si>
  <si>
    <t>VIOLET</t>
  </si>
  <si>
    <t>238, 130, 238</t>
  </si>
  <si>
    <t>#EE82EE</t>
  </si>
  <si>
    <t>PURPLE</t>
  </si>
  <si>
    <t>128, 0, 128</t>
  </si>
  <si>
    <t>#800080</t>
  </si>
  <si>
    <t>DARKMAGENTA</t>
  </si>
  <si>
    <t>139, 0, 139</t>
  </si>
  <si>
    <t>#8B008B</t>
  </si>
  <si>
    <t>FUCHSIA</t>
  </si>
  <si>
    <t>255, 0, 255</t>
  </si>
  <si>
    <t>#FF00FF</t>
  </si>
  <si>
    <t>MAGENTA</t>
  </si>
  <si>
    <t>ORCHID</t>
  </si>
  <si>
    <t>218, 112, 214</t>
  </si>
  <si>
    <t>#DA70D6</t>
  </si>
  <si>
    <t>MEDIUMVIOLETRED</t>
  </si>
  <si>
    <t>199, 21, 133</t>
  </si>
  <si>
    <t>#C71585</t>
  </si>
  <si>
    <t>DEEPPINK</t>
  </si>
  <si>
    <t>255, 20, 147</t>
  </si>
  <si>
    <t>#FF1493</t>
  </si>
  <si>
    <t>HOTPINK</t>
  </si>
  <si>
    <t>255, 105, 180</t>
  </si>
  <si>
    <t>#FF69B4</t>
  </si>
  <si>
    <t>LAVENDERBLUSH</t>
  </si>
  <si>
    <t>255, 240, 245</t>
  </si>
  <si>
    <t>#FFF0F5</t>
  </si>
  <si>
    <t>PALEVIOLETRED</t>
  </si>
  <si>
    <t>219, 112, 147</t>
  </si>
  <si>
    <t>#DB7093</t>
  </si>
  <si>
    <t>CRIMSON</t>
  </si>
  <si>
    <t>220, 20, 60</t>
  </si>
  <si>
    <t>#DC143C</t>
  </si>
  <si>
    <t>PINK</t>
  </si>
  <si>
    <t>255, 192, 203</t>
  </si>
  <si>
    <t>#FFC0CB</t>
  </si>
  <si>
    <t>LIGHTPINK</t>
  </si>
  <si>
    <t>255, 182, 193</t>
  </si>
  <si>
    <t>#FFB6C1</t>
  </si>
  <si>
    <t>Luminance</t>
  </si>
  <si>
    <t>L</t>
  </si>
  <si>
    <t>Orig</t>
  </si>
  <si>
    <t>LimeGreen</t>
  </si>
  <si>
    <t>PaleGreen</t>
  </si>
  <si>
    <t>Honeydew</t>
  </si>
  <si>
    <t>Darkgray</t>
  </si>
  <si>
    <t>Gainsboro</t>
  </si>
  <si>
    <t>WhiteSmoke</t>
  </si>
  <si>
    <t>ColorSchemes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</si>
</sst>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rgb="FF000000"/>
      <name val="Arial"/>
      <family val="2"/>
    </font>
    <font>
      <sz val="9"/>
      <color rgb="FFFFFFFF"/>
      <name val="Arial"/>
      <family val="2"/>
    </font>
    <font>
      <b/>
      <sz val="14"/>
      <color theme="1"/>
      <name val="Arial"/>
      <family val="2"/>
    </font>
    <font>
      <sz val="11"/>
      <color rgb="FF2B2322"/>
      <name val="Aptos Narrow"/>
      <family val="2"/>
      <scheme val="minor"/>
    </font>
    <font>
      <sz val="11"/>
      <color rgb="FF1D2B30"/>
      <name val="Aptos Narrow"/>
      <family val="2"/>
      <scheme val="minor"/>
    </font>
    <font>
      <sz val="11"/>
      <color rgb="FF242628"/>
      <name val="Aptos Narrow"/>
      <family val="2"/>
      <scheme val="minor"/>
    </font>
    <font>
      <sz val="11"/>
      <color rgb="FF173517"/>
      <name val="Aptos Narrow"/>
      <family val="2"/>
      <scheme val="minor"/>
    </font>
    <font>
      <sz val="11"/>
      <color rgb="FF242824"/>
      <name val="Aptos Narrow"/>
      <family val="2"/>
      <scheme val="minor"/>
    </font>
    <font>
      <sz val="11"/>
      <color rgb="FF4D4000"/>
      <name val="Aptos Narrow"/>
      <family val="2"/>
      <scheme val="minor"/>
    </font>
    <font>
      <sz val="11"/>
      <color rgb="FF2E2C1F"/>
      <name val="Aptos Narrow"/>
      <family val="2"/>
      <scheme val="minor"/>
    </font>
    <font>
      <sz val="11"/>
      <color rgb="FF094309"/>
      <name val="Aptos Narrow"/>
      <family val="2"/>
      <scheme val="minor"/>
    </font>
    <font>
      <sz val="11"/>
      <color rgb="FF473406"/>
      <name val="Aptos Narrow"/>
      <family val="2"/>
      <scheme val="minor"/>
    </font>
    <font>
      <sz val="11"/>
      <color rgb="FFFAD1D1"/>
      <name val="Aptos Narrow"/>
      <family val="2"/>
      <scheme val="minor"/>
    </font>
    <font>
      <sz val="11"/>
      <color rgb="FFFFDACC"/>
      <name val="Aptos Narrow"/>
      <family val="2"/>
      <scheme val="minor"/>
    </font>
    <font>
      <sz val="11"/>
      <color rgb="FF333333"/>
      <name val="Aptos Narrow"/>
      <family val="2"/>
      <scheme val="minor"/>
    </font>
    <font>
      <sz val="11"/>
      <color rgb="FFCFE6FC"/>
      <name val="Aptos Narrow"/>
      <family val="2"/>
      <scheme val="minor"/>
    </font>
    <font>
      <sz val="8"/>
      <name val="Aptos Narrow"/>
      <family val="2"/>
      <scheme val="minor"/>
    </font>
  </fonts>
  <fills count="531">
    <fill>
      <patternFill patternType="none"/>
    </fill>
    <fill>
      <patternFill patternType="gray125"/>
    </fill>
    <fill>
      <patternFill patternType="solid">
        <fgColor rgb="FF1E90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EA868F"/>
        <bgColor indexed="64"/>
      </patternFill>
    </fill>
    <fill>
      <patternFill patternType="solid">
        <fgColor rgb="FFFFDA6A"/>
        <bgColor indexed="64"/>
      </patternFill>
    </fill>
    <fill>
      <patternFill patternType="solid">
        <fgColor rgb="FF75A85F"/>
        <bgColor indexed="64"/>
      </patternFill>
    </fill>
    <fill>
      <patternFill patternType="solid">
        <fgColor rgb="FF6EA8FE"/>
        <bgColor indexed="64"/>
      </patternFill>
    </fill>
    <fill>
      <patternFill patternType="solid">
        <fgColor rgb="FFA7ACB1"/>
        <bgColor indexed="64"/>
      </patternFill>
    </fill>
    <fill>
      <patternFill patternType="solid">
        <fgColor rgb="FFF8D7DA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D1E7DD"/>
        <bgColor indexed="64"/>
      </patternFill>
    </fill>
    <fill>
      <patternFill patternType="solid">
        <fgColor rgb="FFCFE2FF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58151C"/>
        <bgColor indexed="64"/>
      </patternFill>
    </fill>
    <fill>
      <patternFill patternType="solid">
        <fgColor rgb="FF664D03"/>
        <bgColor indexed="64"/>
      </patternFill>
    </fill>
    <fill>
      <patternFill patternType="solid">
        <fgColor rgb="FF0A3622"/>
        <bgColor indexed="64"/>
      </patternFill>
    </fill>
    <fill>
      <patternFill patternType="solid">
        <fgColor rgb="FF052C65"/>
        <bgColor indexed="64"/>
      </patternFill>
    </fill>
    <fill>
      <patternFill patternType="solid">
        <fgColor rgb="FF2B2F32"/>
        <bgColor indexed="64"/>
      </patternFill>
    </fill>
    <fill>
      <patternFill patternType="solid">
        <fgColor rgb="FF2C060E"/>
        <bgColor indexed="64"/>
      </patternFill>
    </fill>
    <fill>
      <patternFill patternType="solid">
        <fgColor rgb="FF332701"/>
        <bgColor indexed="64"/>
      </patternFill>
    </fill>
    <fill>
      <patternFill patternType="solid">
        <fgColor rgb="FF051B11"/>
        <bgColor indexed="64"/>
      </patternFill>
    </fill>
    <fill>
      <patternFill patternType="solid">
        <fgColor rgb="FF031B33"/>
        <bgColor indexed="64"/>
      </patternFill>
    </fill>
    <fill>
      <patternFill patternType="solid">
        <fgColor rgb="FF16171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D69A9F"/>
        <bgColor indexed="64"/>
      </patternFill>
    </fill>
    <fill>
      <patternFill patternType="solid">
        <fgColor rgb="FF5B2529"/>
        <bgColor indexed="64"/>
      </patternFill>
    </fill>
    <fill>
      <patternFill patternType="solid">
        <fgColor rgb="FFDAA4A9"/>
        <bgColor indexed="64"/>
      </patternFill>
    </fill>
    <fill>
      <patternFill patternType="solid">
        <fgColor rgb="FFE0CA89"/>
        <bgColor indexed="64"/>
      </patternFill>
    </fill>
    <fill>
      <patternFill patternType="solid">
        <fgColor rgb="FF65521B"/>
        <bgColor indexed="64"/>
      </patternFill>
    </fill>
    <fill>
      <patternFill patternType="solid">
        <fgColor rgb="FFE4D29A"/>
        <bgColor indexed="64"/>
      </patternFill>
    </fill>
    <fill>
      <patternFill patternType="solid">
        <fgColor rgb="FF6EB94E"/>
        <bgColor indexed="64"/>
      </patternFill>
    </fill>
    <fill>
      <patternFill patternType="solid">
        <fgColor rgb="FF355B24"/>
        <bgColor indexed="64"/>
      </patternFill>
    </fill>
    <fill>
      <patternFill patternType="solid">
        <fgColor rgb="FFB4DBA4"/>
        <bgColor indexed="64"/>
      </patternFill>
    </fill>
    <fill>
      <patternFill patternType="solid">
        <fgColor rgb="FF8DAEDF"/>
        <bgColor indexed="64"/>
      </patternFill>
    </fill>
    <fill>
      <patternFill patternType="solid">
        <fgColor rgb="FF1C3964"/>
        <bgColor indexed="64"/>
      </patternFill>
    </fill>
    <fill>
      <patternFill patternType="solid">
        <fgColor rgb="FF9BB8E3"/>
        <bgColor indexed="64"/>
      </patternFill>
    </fill>
    <fill>
      <patternFill patternType="solid">
        <fgColor rgb="FF3C4043"/>
        <bgColor indexed="64"/>
      </patternFill>
    </fill>
    <fill>
      <patternFill patternType="solid">
        <fgColor rgb="FFBCBFC3"/>
        <bgColor indexed="64"/>
      </patternFill>
    </fill>
    <fill>
      <patternFill patternType="solid">
        <fgColor rgb="FFEBE4E5"/>
        <bgColor indexed="64"/>
      </patternFill>
    </fill>
    <fill>
      <patternFill patternType="solid">
        <fgColor rgb="FF483739"/>
        <bgColor indexed="64"/>
      </patternFill>
    </fill>
    <fill>
      <patternFill patternType="solid">
        <fgColor rgb="FFC8B7B8"/>
        <bgColor indexed="64"/>
      </patternFill>
    </fill>
    <fill>
      <patternFill patternType="solid">
        <fgColor rgb="FFEBE9E1"/>
        <bgColor indexed="64"/>
      </patternFill>
    </fill>
    <fill>
      <patternFill patternType="solid">
        <fgColor rgb="FF4C4633"/>
        <bgColor indexed="64"/>
      </patternFill>
    </fill>
    <fill>
      <patternFill patternType="solid">
        <fgColor rgb="FFCCC6B3"/>
        <bgColor indexed="64"/>
      </patternFill>
    </fill>
    <fill>
      <patternFill patternType="solid">
        <fgColor rgb="FFD9DFDC"/>
        <bgColor indexed="64"/>
      </patternFill>
    </fill>
    <fill>
      <patternFill patternType="solid">
        <fgColor rgb="FF3A4640"/>
        <bgColor indexed="64"/>
      </patternFill>
    </fill>
    <fill>
      <patternFill patternType="solid">
        <fgColor rgb="FFB9C5C0"/>
        <bgColor indexed="64"/>
      </patternFill>
    </fill>
    <fill>
      <patternFill patternType="solid">
        <fgColor rgb="FFE2E6EC"/>
        <bgColor indexed="64"/>
      </patternFill>
    </fill>
    <fill>
      <patternFill patternType="solid">
        <fgColor rgb="FF343D4C"/>
        <bgColor indexed="64"/>
      </patternFill>
    </fill>
    <fill>
      <patternFill patternType="solid">
        <fgColor rgb="FFB3BDCB"/>
        <bgColor indexed="64"/>
      </patternFill>
    </fill>
    <fill>
      <patternFill patternType="solid">
        <fgColor rgb="FFE3E3E4"/>
        <bgColor indexed="64"/>
      </patternFill>
    </fill>
    <fill>
      <patternFill patternType="solid">
        <fgColor rgb="FF3F3F41"/>
        <bgColor indexed="64"/>
      </patternFill>
    </fill>
    <fill>
      <patternFill patternType="solid">
        <fgColor rgb="FFBEBFC0"/>
        <bgColor indexed="64"/>
      </patternFill>
    </fill>
    <fill>
      <patternFill patternType="solid">
        <fgColor rgb="FF600D16"/>
        <bgColor indexed="64"/>
      </patternFill>
    </fill>
    <fill>
      <patternFill patternType="solid">
        <fgColor rgb="FF700F19"/>
        <bgColor indexed="64"/>
      </patternFill>
    </fill>
    <fill>
      <patternFill patternType="solid">
        <fgColor rgb="FFF08F99"/>
        <bgColor indexed="64"/>
      </patternFill>
    </fill>
    <fill>
      <patternFill patternType="solid">
        <fgColor rgb="FF674E02"/>
        <bgColor indexed="64"/>
      </patternFill>
    </fill>
    <fill>
      <patternFill patternType="solid">
        <fgColor rgb="FF7E5E02"/>
        <bgColor indexed="64"/>
      </patternFill>
    </fill>
    <fill>
      <patternFill patternType="solid">
        <fgColor rgb="FFFDDE81"/>
        <bgColor indexed="64"/>
      </patternFill>
    </fill>
    <fill>
      <patternFill patternType="solid">
        <fgColor rgb="FF063A22"/>
        <bgColor indexed="64"/>
      </patternFill>
    </fill>
    <fill>
      <patternFill patternType="solid">
        <fgColor rgb="FF0C7444"/>
        <bgColor indexed="64"/>
      </patternFill>
    </fill>
    <fill>
      <patternFill patternType="solid">
        <fgColor rgb="FF8BF3C4"/>
        <bgColor indexed="64"/>
      </patternFill>
    </fill>
    <fill>
      <patternFill patternType="solid">
        <fgColor rgb="FF032C67"/>
        <bgColor indexed="64"/>
      </patternFill>
    </fill>
    <fill>
      <patternFill patternType="solid">
        <fgColor rgb="FF03347C"/>
        <bgColor indexed="64"/>
      </patternFill>
    </fill>
    <fill>
      <patternFill patternType="solid">
        <fgColor rgb="FF83B4FC"/>
        <bgColor indexed="64"/>
      </patternFill>
    </fill>
    <fill>
      <patternFill patternType="solid">
        <fgColor rgb="FF282F35"/>
        <bgColor indexed="64"/>
      </patternFill>
    </fill>
    <fill>
      <patternFill patternType="solid">
        <fgColor rgb="FF374149"/>
        <bgColor indexed="64"/>
      </patternFill>
    </fill>
    <fill>
      <patternFill patternType="solid">
        <fgColor rgb="FFB6C1C8"/>
        <bgColor indexed="64"/>
      </patternFill>
    </fill>
    <fill>
      <patternFill patternType="solid">
        <fgColor rgb="FF2F030C"/>
        <bgColor indexed="64"/>
      </patternFill>
    </fill>
    <fill>
      <patternFill patternType="solid">
        <fgColor rgb="FF770920"/>
        <bgColor indexed="64"/>
      </patternFill>
    </fill>
    <fill>
      <patternFill patternType="solid">
        <fgColor rgb="FFF6889F"/>
        <bgColor indexed="64"/>
      </patternFill>
    </fill>
    <fill>
      <patternFill patternType="solid">
        <fgColor rgb="FF7E6001"/>
        <bgColor indexed="64"/>
      </patternFill>
    </fill>
    <fill>
      <patternFill patternType="solid">
        <fgColor rgb="FFFEE081"/>
        <bgColor indexed="64"/>
      </patternFill>
    </fill>
    <fill>
      <patternFill patternType="solid">
        <fgColor rgb="FF031D11"/>
        <bgColor indexed="64"/>
      </patternFill>
    </fill>
    <fill>
      <patternFill patternType="solid">
        <fgColor rgb="FF021B34"/>
        <bgColor indexed="64"/>
      </patternFill>
    </fill>
    <fill>
      <patternFill patternType="solid">
        <fgColor rgb="FF04407C"/>
        <bgColor indexed="64"/>
      </patternFill>
    </fill>
    <fill>
      <patternFill patternType="solid">
        <fgColor rgb="FF83BFFB"/>
        <bgColor indexed="64"/>
      </patternFill>
    </fill>
    <fill>
      <patternFill patternType="solid">
        <fgColor rgb="FF15171A"/>
        <bgColor indexed="64"/>
      </patternFill>
    </fill>
    <fill>
      <patternFill patternType="solid">
        <fgColor rgb="FF383D47"/>
        <bgColor indexed="64"/>
      </patternFill>
    </fill>
    <fill>
      <patternFill patternType="solid">
        <fgColor rgb="FFB8BDC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DFCFC"/>
        <bgColor indexed="64"/>
      </patternFill>
    </fill>
    <fill>
      <patternFill patternType="solid">
        <fgColor rgb="FF413E3E"/>
        <bgColor indexed="64"/>
      </patternFill>
    </fill>
    <fill>
      <patternFill patternType="solid">
        <fgColor rgb="FFC0BEBE"/>
        <bgColor indexed="64"/>
      </patternFill>
    </fill>
    <fill>
      <patternFill patternType="solid">
        <fgColor rgb="FFBB9090"/>
        <bgColor indexed="64"/>
      </patternFill>
    </fill>
    <fill>
      <patternFill patternType="solid">
        <fgColor rgb="FF4F3030"/>
        <bgColor indexed="64"/>
      </patternFill>
    </fill>
    <fill>
      <patternFill patternType="solid">
        <fgColor rgb="FFCFB0B0"/>
        <bgColor indexed="64"/>
      </patternFill>
    </fill>
    <fill>
      <patternFill patternType="solid">
        <fgColor rgb="FFD99797"/>
        <bgColor indexed="64"/>
      </patternFill>
    </fill>
    <fill>
      <patternFill patternType="solid">
        <fgColor rgb="FF5E2222"/>
        <bgColor indexed="64"/>
      </patternFill>
    </fill>
    <fill>
      <patternFill patternType="solid">
        <fgColor rgb="FFDDA2A2"/>
        <bgColor indexed="64"/>
      </patternFill>
    </fill>
    <fill>
      <patternFill patternType="solid">
        <fgColor rgb="FFCF5A5A"/>
        <bgColor indexed="64"/>
      </patternFill>
    </fill>
    <fill>
      <patternFill patternType="solid">
        <fgColor rgb="FF631D1D"/>
        <bgColor indexed="64"/>
      </patternFill>
    </fill>
    <fill>
      <patternFill patternType="solid">
        <fgColor rgb="FFE29C9C"/>
        <bgColor indexed="64"/>
      </patternFill>
    </fill>
    <fill>
      <patternFill patternType="solid">
        <fgColor rgb="FFB51A1A"/>
        <bgColor indexed="64"/>
      </patternFill>
    </fill>
    <fill>
      <patternFill patternType="solid">
        <fgColor rgb="FF6F1010"/>
        <bgColor indexed="64"/>
      </patternFill>
    </fill>
    <fill>
      <patternFill patternType="solid">
        <fgColor rgb="FFEF9090"/>
        <bgColor indexed="64"/>
      </patternFill>
    </fill>
    <fill>
      <patternFill patternType="solid">
        <fgColor rgb="FFC01414"/>
        <bgColor indexed="64"/>
      </patternFill>
    </fill>
    <fill>
      <patternFill patternType="solid">
        <fgColor rgb="FF730C0C"/>
        <bgColor indexed="64"/>
      </patternFill>
    </fill>
    <fill>
      <patternFill patternType="solid">
        <fgColor rgb="FFF38C8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2EFEE"/>
        <bgColor indexed="64"/>
      </patternFill>
    </fill>
    <fill>
      <patternFill patternType="solid">
        <fgColor rgb="FF473A38"/>
        <bgColor indexed="64"/>
      </patternFill>
    </fill>
    <fill>
      <patternFill patternType="solid">
        <fgColor rgb="FFC7B9B8"/>
        <bgColor indexed="64"/>
      </patternFill>
    </fill>
    <fill>
      <patternFill patternType="solid">
        <fgColor rgb="FFDE968E"/>
        <bgColor indexed="64"/>
      </patternFill>
    </fill>
    <fill>
      <patternFill patternType="solid">
        <fgColor rgb="FF62241D"/>
        <bgColor indexed="64"/>
      </patternFill>
    </fill>
    <fill>
      <patternFill patternType="solid">
        <fgColor rgb="FFE2A49D"/>
        <bgColor indexed="64"/>
      </patternFill>
    </fill>
    <fill>
      <patternFill patternType="solid">
        <fgColor rgb="FFE57561"/>
        <bgColor indexed="64"/>
      </patternFill>
    </fill>
    <fill>
      <patternFill patternType="solid">
        <fgColor rgb="FF6E2012"/>
        <bgColor indexed="64"/>
      </patternFill>
    </fill>
    <fill>
      <patternFill patternType="solid">
        <fgColor rgb="FFED9F91"/>
        <bgColor indexed="64"/>
      </patternFill>
    </fill>
    <fill>
      <patternFill patternType="solid">
        <fgColor rgb="FFD69F8D"/>
        <bgColor indexed="64"/>
      </patternFill>
    </fill>
    <fill>
      <patternFill patternType="solid">
        <fgColor rgb="FF5E3121"/>
        <bgColor indexed="64"/>
      </patternFill>
    </fill>
    <fill>
      <patternFill patternType="solid">
        <fgColor rgb="FFDEB0A1"/>
        <bgColor indexed="64"/>
      </patternFill>
    </fill>
    <fill>
      <patternFill patternType="solid">
        <fgColor rgb="FFE48C6B"/>
        <bgColor indexed="64"/>
      </patternFill>
    </fill>
    <fill>
      <patternFill patternType="solid">
        <fgColor rgb="FF6C2B14"/>
        <bgColor indexed="64"/>
      </patternFill>
    </fill>
    <fill>
      <patternFill patternType="solid">
        <fgColor rgb="FFEBAB93"/>
        <bgColor indexed="64"/>
      </patternFill>
    </fill>
    <fill>
      <patternFill patternType="solid">
        <fgColor rgb="FF802300"/>
        <bgColor indexed="64"/>
      </patternFill>
    </fill>
    <fill>
      <patternFill patternType="solid">
        <fgColor rgb="FFFFA280"/>
        <bgColor indexed="64"/>
      </patternFill>
    </fill>
    <fill>
      <patternFill patternType="solid">
        <fgColor rgb="FFDFAE9A"/>
        <bgColor indexed="64"/>
      </patternFill>
    </fill>
    <fill>
      <patternFill patternType="solid">
        <fgColor rgb="FF61311F"/>
        <bgColor indexed="64"/>
      </patternFill>
    </fill>
    <fill>
      <patternFill patternType="solid">
        <fgColor rgb="FFE0B19E"/>
        <bgColor indexed="64"/>
      </patternFill>
    </fill>
    <fill>
      <patternFill patternType="solid">
        <fgColor rgb="FFB04C1D"/>
        <bgColor indexed="64"/>
      </patternFill>
    </fill>
    <fill>
      <patternFill patternType="solid">
        <fgColor rgb="FF6E2F12"/>
        <bgColor indexed="64"/>
      </patternFill>
    </fill>
    <fill>
      <patternFill patternType="solid">
        <fgColor rgb="FFEDAF91"/>
        <bgColor indexed="64"/>
      </patternFill>
    </fill>
    <fill>
      <patternFill patternType="solid">
        <fgColor rgb="FFF7F6F6"/>
        <bgColor indexed="64"/>
      </patternFill>
    </fill>
    <fill>
      <patternFill patternType="solid">
        <fgColor rgb="FF443F3C"/>
        <bgColor indexed="64"/>
      </patternFill>
    </fill>
    <fill>
      <patternFill patternType="solid">
        <fgColor rgb="FFC3BEBB"/>
        <bgColor indexed="64"/>
      </patternFill>
    </fill>
    <fill>
      <patternFill patternType="solid">
        <fgColor rgb="FFDF6711"/>
        <bgColor indexed="64"/>
      </patternFill>
    </fill>
    <fill>
      <patternFill patternType="solid">
        <fgColor rgb="FF763709"/>
        <bgColor indexed="64"/>
      </patternFill>
    </fill>
    <fill>
      <patternFill patternType="solid">
        <fgColor rgb="FFF6B689"/>
        <bgColor indexed="64"/>
      </patternFill>
    </fill>
    <fill>
      <patternFill patternType="solid">
        <fgColor rgb="FF93440B"/>
        <bgColor indexed="64"/>
      </patternFill>
    </fill>
    <fill>
      <patternFill patternType="solid">
        <fgColor rgb="FF773709"/>
        <bgColor indexed="64"/>
      </patternFill>
    </fill>
    <fill>
      <patternFill patternType="solid">
        <fgColor rgb="FFF6B688"/>
        <bgColor indexed="64"/>
      </patternFill>
    </fill>
    <fill>
      <patternFill patternType="solid">
        <fgColor rgb="FFDEA676"/>
        <bgColor indexed="64"/>
      </patternFill>
    </fill>
    <fill>
      <patternFill patternType="solid">
        <fgColor rgb="FF663D19"/>
        <bgColor indexed="64"/>
      </patternFill>
    </fill>
    <fill>
      <patternFill patternType="solid">
        <fgColor rgb="FFE6BC99"/>
        <bgColor indexed="64"/>
      </patternFill>
    </fill>
    <fill>
      <patternFill patternType="solid">
        <fgColor rgb="FFE6DBD2"/>
        <bgColor indexed="64"/>
      </patternFill>
    </fill>
    <fill>
      <patternFill patternType="solid">
        <fgColor rgb="FF513F2E"/>
        <bgColor indexed="64"/>
      </patternFill>
    </fill>
    <fill>
      <patternFill patternType="solid">
        <fgColor rgb="FFD1BEAE"/>
        <bgColor indexed="64"/>
      </patternFill>
    </fill>
    <fill>
      <patternFill patternType="solid">
        <fgColor rgb="FFDA8532"/>
        <bgColor indexed="64"/>
      </patternFill>
    </fill>
    <fill>
      <patternFill patternType="solid">
        <fgColor rgb="FF6C3F14"/>
        <bgColor indexed="64"/>
      </patternFill>
    </fill>
    <fill>
      <patternFill patternType="solid">
        <fgColor rgb="FFEBBF93"/>
        <bgColor indexed="64"/>
      </patternFill>
    </fill>
    <fill>
      <patternFill patternType="solid">
        <fgColor rgb="FFF1F0EF"/>
        <bgColor indexed="64"/>
      </patternFill>
    </fill>
    <fill>
      <patternFill patternType="solid">
        <fgColor rgb="FF45403B"/>
        <bgColor indexed="64"/>
      </patternFill>
    </fill>
    <fill>
      <patternFill patternType="solid">
        <fgColor rgb="FFC4BFBA"/>
        <bgColor indexed="64"/>
      </patternFill>
    </fill>
    <fill>
      <patternFill patternType="solid">
        <fgColor rgb="FFE8E2DB"/>
        <bgColor indexed="64"/>
      </patternFill>
    </fill>
    <fill>
      <patternFill patternType="solid">
        <fgColor rgb="FF4E4131"/>
        <bgColor indexed="64"/>
      </patternFill>
    </fill>
    <fill>
      <patternFill patternType="solid">
        <fgColor rgb="FFCEC0B0"/>
        <bgColor indexed="64"/>
      </patternFill>
    </fill>
    <fill>
      <patternFill patternType="solid">
        <fgColor rgb="FF804600"/>
        <bgColor indexed="64"/>
      </patternFill>
    </fill>
    <fill>
      <patternFill patternType="solid">
        <fgColor rgb="FFFFC580"/>
        <bgColor indexed="64"/>
      </patternFill>
    </fill>
    <fill>
      <patternFill patternType="solid">
        <fgColor rgb="FFD0B695"/>
        <bgColor indexed="64"/>
      </patternFill>
    </fill>
    <fill>
      <patternFill patternType="solid">
        <fgColor rgb="FF594327"/>
        <bgColor indexed="64"/>
      </patternFill>
    </fill>
    <fill>
      <patternFill patternType="solid">
        <fgColor rgb="FFD8C2A6"/>
        <bgColor indexed="64"/>
      </patternFill>
    </fill>
    <fill>
      <patternFill patternType="solid">
        <fgColor rgb="FFECE9E5"/>
        <bgColor indexed="64"/>
      </patternFill>
    </fill>
    <fill>
      <patternFill patternType="solid">
        <fgColor rgb="FF494137"/>
        <bgColor indexed="64"/>
      </patternFill>
    </fill>
    <fill>
      <patternFill patternType="solid">
        <fgColor rgb="FFC8C1B6"/>
        <bgColor indexed="64"/>
      </patternFill>
    </fill>
    <fill>
      <patternFill patternType="solid">
        <fgColor rgb="FFCAB394"/>
        <bgColor indexed="64"/>
      </patternFill>
    </fill>
    <fill>
      <patternFill patternType="solid">
        <fgColor rgb="FF55432B"/>
        <bgColor indexed="64"/>
      </patternFill>
    </fill>
    <fill>
      <patternFill patternType="solid">
        <fgColor rgb="FFD4C2AA"/>
        <bgColor indexed="64"/>
      </patternFill>
    </fill>
    <fill>
      <patternFill patternType="solid">
        <fgColor rgb="FFE3D9C9"/>
        <bgColor indexed="64"/>
      </patternFill>
    </fill>
    <fill>
      <patternFill patternType="solid">
        <fgColor rgb="FF54442B"/>
        <bgColor indexed="64"/>
      </patternFill>
    </fill>
    <fill>
      <patternFill patternType="solid">
        <fgColor rgb="FFD4C3AB"/>
        <bgColor indexed="64"/>
      </patternFill>
    </fill>
    <fill>
      <patternFill patternType="solid">
        <fgColor rgb="FFEBE7E1"/>
        <bgColor indexed="64"/>
      </patternFill>
    </fill>
    <fill>
      <patternFill patternType="solid">
        <fgColor rgb="FF4C4233"/>
        <bgColor indexed="64"/>
      </patternFill>
    </fill>
    <fill>
      <patternFill patternType="solid">
        <fgColor rgb="FFCCC2B3"/>
        <bgColor indexed="64"/>
      </patternFill>
    </fill>
    <fill>
      <patternFill patternType="solid">
        <fgColor rgb="FFEDEBE7"/>
        <bgColor indexed="64"/>
      </patternFill>
    </fill>
    <fill>
      <patternFill patternType="solid">
        <fgColor rgb="FF4A4235"/>
        <bgColor indexed="64"/>
      </patternFill>
    </fill>
    <fill>
      <patternFill patternType="solid">
        <fgColor rgb="FFCAC2B5"/>
        <bgColor indexed="64"/>
      </patternFill>
    </fill>
    <fill>
      <patternFill patternType="solid">
        <fgColor rgb="FFE5DDCF"/>
        <bgColor indexed="64"/>
      </patternFill>
    </fill>
    <fill>
      <patternFill patternType="solid">
        <fgColor rgb="FF52452D"/>
        <bgColor indexed="64"/>
      </patternFill>
    </fill>
    <fill>
      <patternFill patternType="solid">
        <fgColor rgb="FFD2C4AD"/>
        <bgColor indexed="64"/>
      </patternFill>
    </fill>
    <fill>
      <patternFill patternType="solid">
        <fgColor rgb="FF805200"/>
        <bgColor indexed="64"/>
      </patternFill>
    </fill>
    <fill>
      <patternFill patternType="solid">
        <fgColor rgb="FFFFD280"/>
        <bgColor indexed="64"/>
      </patternFill>
    </fill>
    <fill>
      <patternFill patternType="solid">
        <fgColor rgb="FFE0D8C8"/>
        <bgColor indexed="64"/>
      </patternFill>
    </fill>
    <fill>
      <patternFill patternType="solid">
        <fgColor rgb="FF51452F"/>
        <bgColor indexed="64"/>
      </patternFill>
    </fill>
    <fill>
      <patternFill patternType="solid">
        <fgColor rgb="FFD0C4AE"/>
        <bgColor indexed="64"/>
      </patternFill>
    </fill>
    <fill>
      <patternFill patternType="solid">
        <fgColor rgb="FFF3F2F0"/>
        <bgColor indexed="64"/>
      </patternFill>
    </fill>
    <fill>
      <patternFill patternType="solid">
        <fgColor rgb="FF46423A"/>
        <bgColor indexed="64"/>
      </patternFill>
    </fill>
    <fill>
      <patternFill patternType="solid">
        <fgColor rgb="FFC5C1B9"/>
        <bgColor indexed="64"/>
      </patternFill>
    </fill>
    <fill>
      <patternFill patternType="solid">
        <fgColor rgb="FFF8F8F7"/>
        <bgColor indexed="64"/>
      </patternFill>
    </fill>
    <fill>
      <patternFill patternType="solid">
        <fgColor rgb="FF44413C"/>
        <bgColor indexed="64"/>
      </patternFill>
    </fill>
    <fill>
      <patternFill patternType="solid">
        <fgColor rgb="FFC3C1BC"/>
        <bgColor indexed="64"/>
      </patternFill>
    </fill>
    <fill>
      <patternFill patternType="solid">
        <fgColor rgb="FFBD8806"/>
        <bgColor indexed="64"/>
      </patternFill>
    </fill>
    <fill>
      <patternFill patternType="solid">
        <fgColor rgb="FF7C5904"/>
        <bgColor indexed="64"/>
      </patternFill>
    </fill>
    <fill>
      <patternFill patternType="solid">
        <fgColor rgb="FFFBD983"/>
        <bgColor indexed="64"/>
      </patternFill>
    </fill>
    <fill>
      <patternFill patternType="solid">
        <fgColor rgb="FFE8AB12"/>
        <bgColor indexed="64"/>
      </patternFill>
    </fill>
    <fill>
      <patternFill patternType="solid">
        <fgColor rgb="FF765709"/>
        <bgColor indexed="64"/>
      </patternFill>
    </fill>
    <fill>
      <patternFill patternType="solid">
        <fgColor rgb="FFF6D789"/>
        <bgColor indexed="64"/>
      </patternFill>
    </fill>
    <fill>
      <patternFill patternType="solid">
        <fgColor rgb="FFF0EFEB"/>
        <bgColor indexed="64"/>
      </patternFill>
    </fill>
    <fill>
      <patternFill patternType="solid">
        <fgColor rgb="FF484537"/>
        <bgColor indexed="64"/>
      </patternFill>
    </fill>
    <fill>
      <patternFill patternType="solid">
        <fgColor rgb="FFC8C4B7"/>
        <bgColor indexed="64"/>
      </patternFill>
    </fill>
    <fill>
      <patternFill patternType="solid">
        <fgColor rgb="FF806B00"/>
        <bgColor indexed="64"/>
      </patternFill>
    </fill>
    <fill>
      <patternFill patternType="solid">
        <fgColor rgb="FFFFEB80"/>
        <bgColor indexed="64"/>
      </patternFill>
    </fill>
    <fill>
      <patternFill patternType="solid">
        <fgColor rgb="FFEBEAE1"/>
        <bgColor indexed="64"/>
      </patternFill>
    </fill>
    <fill>
      <patternFill patternType="solid">
        <fgColor rgb="FF4C4A33"/>
        <bgColor indexed="64"/>
      </patternFill>
    </fill>
    <fill>
      <patternFill patternType="solid">
        <fgColor rgb="FFCCC9B3"/>
        <bgColor indexed="64"/>
      </patternFill>
    </fill>
    <fill>
      <patternFill patternType="solid">
        <fgColor rgb="FFD9D4A3"/>
        <bgColor indexed="64"/>
      </patternFill>
    </fill>
    <fill>
      <patternFill patternType="solid">
        <fgColor rgb="FF5A5525"/>
        <bgColor indexed="64"/>
      </patternFill>
    </fill>
    <fill>
      <patternFill patternType="solid">
        <fgColor rgb="FFDAD5A5"/>
        <bgColor indexed="64"/>
      </patternFill>
    </fill>
    <fill>
      <patternFill patternType="solid">
        <fgColor rgb="FFDBD8BD"/>
        <bgColor indexed="64"/>
      </patternFill>
    </fill>
    <fill>
      <patternFill patternType="solid">
        <fgColor rgb="FF524F2E"/>
        <bgColor indexed="64"/>
      </patternFill>
    </fill>
    <fill>
      <patternFill patternType="solid">
        <fgColor rgb="FFD1CEAD"/>
        <bgColor indexed="64"/>
      </patternFill>
    </fill>
    <fill>
      <patternFill patternType="solid">
        <fgColor rgb="FFC2BC66"/>
        <bgColor indexed="64"/>
      </patternFill>
    </fill>
    <fill>
      <patternFill patternType="solid">
        <fgColor rgb="FF5B5724"/>
        <bgColor indexed="64"/>
      </patternFill>
    </fill>
    <fill>
      <patternFill patternType="solid">
        <fgColor rgb="FFDBD7A4"/>
        <bgColor indexed="64"/>
      </patternFill>
    </fill>
    <fill>
      <patternFill patternType="solid">
        <fgColor rgb="FF44443C"/>
        <bgColor indexed="64"/>
      </patternFill>
    </fill>
    <fill>
      <patternFill patternType="solid">
        <fgColor rgb="FFC3C3BC"/>
        <bgColor indexed="64"/>
      </patternFill>
    </fill>
    <fill>
      <patternFill patternType="solid">
        <fgColor rgb="FFEBEBE6"/>
        <bgColor indexed="64"/>
      </patternFill>
    </fill>
    <fill>
      <patternFill patternType="solid">
        <fgColor rgb="FF464639"/>
        <bgColor indexed="64"/>
      </patternFill>
    </fill>
    <fill>
      <patternFill patternType="solid">
        <fgColor rgb="FFC6C6B9"/>
        <bgColor indexed="64"/>
      </patternFill>
    </fill>
    <fill>
      <patternFill patternType="solid">
        <fgColor rgb="FFF1F1EE"/>
        <bgColor indexed="64"/>
      </patternFill>
    </fill>
    <fill>
      <patternFill patternType="solid">
        <fgColor rgb="FF474738"/>
        <bgColor indexed="64"/>
      </patternFill>
    </fill>
    <fill>
      <patternFill patternType="solid">
        <fgColor rgb="FFC7C7B8"/>
        <bgColor indexed="64"/>
      </patternFill>
    </fill>
    <fill>
      <patternFill patternType="solid">
        <fgColor rgb="FFEAEAE2"/>
        <bgColor indexed="64"/>
      </patternFill>
    </fill>
    <fill>
      <patternFill patternType="solid">
        <fgColor rgb="FF4A4A36"/>
        <bgColor indexed="64"/>
      </patternFill>
    </fill>
    <fill>
      <patternFill patternType="solid">
        <fgColor rgb="FFC9C9B5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709B16"/>
        <bgColor indexed="64"/>
      </patternFill>
    </fill>
    <fill>
      <patternFill patternType="solid">
        <fgColor rgb="FF507010"/>
        <bgColor indexed="64"/>
      </patternFill>
    </fill>
    <fill>
      <patternFill patternType="solid">
        <fgColor rgb="FFD0EF8F"/>
        <bgColor indexed="64"/>
      </patternFill>
    </fill>
    <fill>
      <patternFill patternType="solid">
        <fgColor rgb="FFA0E01F"/>
        <bgColor indexed="64"/>
      </patternFill>
    </fill>
    <fill>
      <patternFill patternType="solid">
        <fgColor rgb="FF597822"/>
        <bgColor indexed="64"/>
      </patternFill>
    </fill>
    <fill>
      <patternFill patternType="solid">
        <fgColor rgb="FF49631C"/>
        <bgColor indexed="64"/>
      </patternFill>
    </fill>
    <fill>
      <patternFill patternType="solid">
        <fgColor rgb="FFC9E39C"/>
        <bgColor indexed="64"/>
      </patternFill>
    </fill>
    <fill>
      <patternFill patternType="solid">
        <fgColor rgb="FFA9EC42"/>
        <bgColor indexed="64"/>
      </patternFill>
    </fill>
    <fill>
      <patternFill patternType="solid">
        <fgColor rgb="FF4B740C"/>
        <bgColor indexed="64"/>
      </patternFill>
    </fill>
    <fill>
      <patternFill patternType="solid">
        <fgColor rgb="FFCAF38B"/>
        <bgColor indexed="64"/>
      </patternFill>
    </fill>
    <fill>
      <patternFill patternType="solid">
        <fgColor rgb="FF408000"/>
        <bgColor indexed="64"/>
      </patternFill>
    </fill>
    <fill>
      <patternFill patternType="solid">
        <fgColor rgb="FFBFFF80"/>
        <bgColor indexed="64"/>
      </patternFill>
    </fill>
    <fill>
      <patternFill patternType="solid">
        <fgColor rgb="FF3F8000"/>
        <bgColor indexed="64"/>
      </patternFill>
    </fill>
    <fill>
      <patternFill patternType="solid">
        <fgColor rgb="FFBEFF80"/>
        <bgColor indexed="64"/>
      </patternFill>
    </fill>
    <fill>
      <patternFill patternType="solid">
        <fgColor rgb="FFF7F8F7"/>
        <bgColor indexed="64"/>
      </patternFill>
    </fill>
    <fill>
      <patternFill patternType="solid">
        <fgColor rgb="FF3C443C"/>
        <bgColor indexed="64"/>
      </patternFill>
    </fill>
    <fill>
      <patternFill patternType="solid">
        <fgColor rgb="FFBCC3BC"/>
        <bgColor indexed="64"/>
      </patternFill>
    </fill>
    <fill>
      <patternFill patternType="solid">
        <fgColor rgb="FF90BB90"/>
        <bgColor indexed="64"/>
      </patternFill>
    </fill>
    <fill>
      <patternFill patternType="solid">
        <fgColor rgb="FF304F30"/>
        <bgColor indexed="64"/>
      </patternFill>
    </fill>
    <fill>
      <patternFill patternType="solid">
        <fgColor rgb="FFB0CFB0"/>
        <bgColor indexed="64"/>
      </patternFill>
    </fill>
    <fill>
      <patternFill patternType="solid">
        <fgColor rgb="FFB4DFB4"/>
        <bgColor indexed="64"/>
      </patternFill>
    </fill>
    <fill>
      <patternFill patternType="solid">
        <fgColor rgb="FF275927"/>
        <bgColor indexed="64"/>
      </patternFill>
    </fill>
    <fill>
      <patternFill patternType="solid">
        <fgColor rgb="FFA6D8A6"/>
        <bgColor indexed="64"/>
      </patternFill>
    </fill>
    <fill>
      <patternFill patternType="solid">
        <fgColor rgb="FF159815"/>
        <bgColor indexed="64"/>
      </patternFill>
    </fill>
    <fill>
      <patternFill patternType="solid">
        <fgColor rgb="FF107010"/>
        <bgColor indexed="64"/>
      </patternFill>
    </fill>
    <fill>
      <patternFill patternType="solid">
        <fgColor rgb="FF8FEF8F"/>
        <bgColor indexed="64"/>
      </patternFill>
    </fill>
    <fill>
      <patternFill patternType="solid">
        <fgColor rgb="FF1FE01F"/>
        <bgColor indexed="64"/>
      </patternFill>
    </fill>
    <fill>
      <patternFill patternType="solid">
        <fgColor rgb="FF80FF80"/>
        <bgColor indexed="64"/>
      </patternFill>
    </fill>
    <fill>
      <patternFill patternType="solid">
        <fgColor rgb="FF1F9A55"/>
        <bgColor indexed="64"/>
      </patternFill>
    </fill>
    <fill>
      <patternFill patternType="solid">
        <fgColor rgb="FF156A3B"/>
        <bgColor indexed="64"/>
      </patternFill>
    </fill>
    <fill>
      <patternFill patternType="solid">
        <fgColor rgb="FF95EABA"/>
        <bgColor indexed="64"/>
      </patternFill>
    </fill>
    <fill>
      <patternFill patternType="solid">
        <fgColor rgb="FF28C76F"/>
        <bgColor indexed="64"/>
      </patternFill>
    </fill>
    <fill>
      <patternFill patternType="solid">
        <fgColor rgb="FF95EABB"/>
        <bgColor indexed="64"/>
      </patternFill>
    </fill>
    <fill>
      <patternFill patternType="solid">
        <fgColor rgb="FF00803F"/>
        <bgColor indexed="64"/>
      </patternFill>
    </fill>
    <fill>
      <patternFill patternType="solid">
        <fgColor rgb="FF80FFBF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3D4240"/>
        <bgColor indexed="64"/>
      </patternFill>
    </fill>
    <fill>
      <patternFill patternType="solid">
        <fgColor rgb="FFBDC2BF"/>
        <bgColor indexed="64"/>
      </patternFill>
    </fill>
    <fill>
      <patternFill patternType="solid">
        <fgColor rgb="FF00804F"/>
        <bgColor indexed="64"/>
      </patternFill>
    </fill>
    <fill>
      <patternFill patternType="solid">
        <fgColor rgb="FF80FFCE"/>
        <bgColor indexed="64"/>
      </patternFill>
    </fill>
    <fill>
      <patternFill patternType="solid">
        <fgColor rgb="FF67CCAA"/>
        <bgColor indexed="64"/>
      </patternFill>
    </fill>
    <fill>
      <patternFill patternType="solid">
        <fgColor rgb="FF20604A"/>
        <bgColor indexed="64"/>
      </patternFill>
    </fill>
    <fill>
      <patternFill patternType="solid">
        <fgColor rgb="FF9FDFCA"/>
        <bgColor indexed="64"/>
      </patternFill>
    </fill>
    <fill>
      <patternFill patternType="solid">
        <fgColor rgb="FF41DFCF"/>
        <bgColor indexed="64"/>
      </patternFill>
    </fill>
    <fill>
      <patternFill patternType="solid">
        <fgColor rgb="FF126D64"/>
        <bgColor indexed="64"/>
      </patternFill>
    </fill>
    <fill>
      <patternFill patternType="solid">
        <fgColor rgb="FF92EDE4"/>
        <bgColor indexed="64"/>
      </patternFill>
    </fill>
    <fill>
      <patternFill patternType="solid">
        <fgColor rgb="FF13BFB6"/>
        <bgColor indexed="64"/>
      </patternFill>
    </fill>
    <fill>
      <patternFill patternType="solid">
        <fgColor rgb="FF0B746E"/>
        <bgColor indexed="64"/>
      </patternFill>
    </fill>
    <fill>
      <patternFill patternType="solid">
        <fgColor rgb="FF8BF4EE"/>
        <bgColor indexed="64"/>
      </patternFill>
    </fill>
    <fill>
      <patternFill patternType="solid">
        <fgColor rgb="FF41D8D2"/>
        <bgColor indexed="64"/>
      </patternFill>
    </fill>
    <fill>
      <patternFill patternType="solid">
        <fgColor rgb="FF166A66"/>
        <bgColor indexed="64"/>
      </patternFill>
    </fill>
    <fill>
      <patternFill patternType="solid">
        <fgColor rgb="FF95E9E6"/>
        <bgColor indexed="64"/>
      </patternFill>
    </fill>
    <fill>
      <patternFill patternType="solid">
        <fgColor rgb="FFF7F8F8"/>
        <bgColor indexed="64"/>
      </patternFill>
    </fill>
    <fill>
      <patternFill patternType="solid">
        <fgColor rgb="FF3C4444"/>
        <bgColor indexed="64"/>
      </patternFill>
    </fill>
    <fill>
      <patternFill patternType="solid">
        <fgColor rgb="FFBCC3C3"/>
        <bgColor indexed="64"/>
      </patternFill>
    </fill>
    <fill>
      <patternFill patternType="solid">
        <fgColor rgb="FFEEF1F1"/>
        <bgColor indexed="64"/>
      </patternFill>
    </fill>
    <fill>
      <patternFill patternType="solid">
        <fgColor rgb="FF384747"/>
        <bgColor indexed="64"/>
      </patternFill>
    </fill>
    <fill>
      <patternFill patternType="solid">
        <fgColor rgb="FFB8C7C7"/>
        <bgColor indexed="64"/>
      </patternFill>
    </fill>
    <fill>
      <patternFill patternType="solid">
        <fgColor rgb="FFC2DBDB"/>
        <bgColor indexed="64"/>
      </patternFill>
    </fill>
    <fill>
      <patternFill patternType="solid">
        <fgColor rgb="FF2F5151"/>
        <bgColor indexed="64"/>
      </patternFill>
    </fill>
    <fill>
      <patternFill patternType="solid">
        <fgColor rgb="FFAED0D0"/>
        <bgColor indexed="64"/>
      </patternFill>
    </fill>
    <fill>
      <patternFill patternType="solid">
        <fgColor rgb="FF255959"/>
        <bgColor indexed="64"/>
      </patternFill>
    </fill>
    <fill>
      <patternFill patternType="solid">
        <fgColor rgb="FF265A5A"/>
        <bgColor indexed="64"/>
      </patternFill>
    </fill>
    <fill>
      <patternFill patternType="solid">
        <fgColor rgb="FFA5D9D9"/>
        <bgColor indexed="64"/>
      </patternFill>
    </fill>
    <fill>
      <patternFill patternType="solid">
        <fgColor rgb="FF80FFFF"/>
        <bgColor indexed="64"/>
      </patternFill>
    </fill>
    <fill>
      <patternFill patternType="solid">
        <fgColor rgb="FF007E80"/>
        <bgColor indexed="64"/>
      </patternFill>
    </fill>
    <fill>
      <patternFill patternType="solid">
        <fgColor rgb="FF80FDFF"/>
        <bgColor indexed="64"/>
      </patternFill>
    </fill>
    <fill>
      <patternFill patternType="solid">
        <fgColor rgb="FF4CB0B3"/>
        <bgColor indexed="64"/>
      </patternFill>
    </fill>
    <fill>
      <patternFill patternType="solid">
        <fgColor rgb="FF26585A"/>
        <bgColor indexed="64"/>
      </patternFill>
    </fill>
    <fill>
      <patternFill patternType="solid">
        <fgColor rgb="FFA5D8D9"/>
        <bgColor indexed="64"/>
      </patternFill>
    </fill>
    <fill>
      <patternFill patternType="solid">
        <fgColor rgb="FFBFD4D7"/>
        <bgColor indexed="64"/>
      </patternFill>
    </fill>
    <fill>
      <patternFill patternType="solid">
        <fgColor rgb="FF314B4F"/>
        <bgColor indexed="64"/>
      </patternFill>
    </fill>
    <fill>
      <patternFill patternType="solid">
        <fgColor rgb="FFB0CBCE"/>
        <bgColor indexed="64"/>
      </patternFill>
    </fill>
    <fill>
      <patternFill patternType="solid">
        <fgColor rgb="FFBCD0D7"/>
        <bgColor indexed="64"/>
      </patternFill>
    </fill>
    <fill>
      <patternFill patternType="solid">
        <fgColor rgb="FF304850"/>
        <bgColor indexed="64"/>
      </patternFill>
    </fill>
    <fill>
      <patternFill patternType="solid">
        <fgColor rgb="FFAFC7CF"/>
        <bgColor indexed="64"/>
      </patternFill>
    </fill>
    <fill>
      <patternFill patternType="solid">
        <fgColor rgb="FF005F80"/>
        <bgColor indexed="64"/>
      </patternFill>
    </fill>
    <fill>
      <patternFill patternType="solid">
        <fgColor rgb="FF80DFFF"/>
        <bgColor indexed="64"/>
      </patternFill>
    </fill>
    <fill>
      <patternFill patternType="solid">
        <fgColor rgb="FF9BC6D7"/>
        <bgColor indexed="64"/>
      </patternFill>
    </fill>
    <fill>
      <patternFill patternType="solid">
        <fgColor rgb="FF254B5B"/>
        <bgColor indexed="64"/>
      </patternFill>
    </fill>
    <fill>
      <patternFill patternType="solid">
        <fgColor rgb="FFA4CBDA"/>
        <bgColor indexed="64"/>
      </patternFill>
    </fill>
    <fill>
      <patternFill patternType="solid">
        <fgColor rgb="FFA4C7DD"/>
        <bgColor indexed="64"/>
      </patternFill>
    </fill>
    <fill>
      <patternFill patternType="solid">
        <fgColor rgb="FF22475D"/>
        <bgColor indexed="64"/>
      </patternFill>
    </fill>
    <fill>
      <patternFill patternType="solid">
        <fgColor rgb="FFA2C6DD"/>
        <bgColor indexed="64"/>
      </patternFill>
    </fill>
    <fill>
      <patternFill patternType="solid">
        <fgColor rgb="FF3184C9"/>
        <bgColor indexed="64"/>
      </patternFill>
    </fill>
    <fill>
      <patternFill patternType="solid">
        <fgColor rgb="FF194367"/>
        <bgColor indexed="64"/>
      </patternFill>
    </fill>
    <fill>
      <patternFill patternType="solid">
        <fgColor rgb="FF98C3E6"/>
        <bgColor indexed="64"/>
      </patternFill>
    </fill>
    <fill>
      <patternFill patternType="solid">
        <fgColor rgb="FF3C4044"/>
        <bgColor indexed="64"/>
      </patternFill>
    </fill>
    <fill>
      <patternFill patternType="solid">
        <fgColor rgb="FFBCC0C3"/>
        <bgColor indexed="64"/>
      </patternFill>
    </fill>
    <fill>
      <patternFill patternType="solid">
        <fgColor rgb="FF2B90F2"/>
        <bgColor indexed="64"/>
      </patternFill>
    </fill>
    <fill>
      <patternFill patternType="solid">
        <fgColor rgb="FF074178"/>
        <bgColor indexed="64"/>
      </patternFill>
    </fill>
    <fill>
      <patternFill patternType="solid">
        <fgColor rgb="FF87C0F8"/>
        <bgColor indexed="64"/>
      </patternFill>
    </fill>
    <fill>
      <patternFill patternType="solid">
        <fgColor rgb="FF64809C"/>
        <bgColor indexed="64"/>
      </patternFill>
    </fill>
    <fill>
      <patternFill patternType="solid">
        <fgColor rgb="FF32404E"/>
        <bgColor indexed="64"/>
      </patternFill>
    </fill>
    <fill>
      <patternFill patternType="solid">
        <fgColor rgb="FFB1BFCD"/>
        <bgColor indexed="64"/>
      </patternFill>
    </fill>
    <fill>
      <patternFill patternType="solid">
        <fgColor rgb="FF6E88A2"/>
        <bgColor indexed="64"/>
      </patternFill>
    </fill>
    <fill>
      <patternFill patternType="solid">
        <fgColor rgb="FFBBC5D3"/>
        <bgColor indexed="64"/>
      </patternFill>
    </fill>
    <fill>
      <patternFill patternType="solid">
        <fgColor rgb="FF333E4D"/>
        <bgColor indexed="64"/>
      </patternFill>
    </fill>
    <fill>
      <patternFill patternType="solid">
        <fgColor rgb="FFB2BECC"/>
        <bgColor indexed="64"/>
      </patternFill>
    </fill>
    <fill>
      <patternFill patternType="solid">
        <fgColor rgb="FF769ADB"/>
        <bgColor indexed="64"/>
      </patternFill>
    </fill>
    <fill>
      <patternFill patternType="solid">
        <fgColor rgb="FF1B3565"/>
        <bgColor indexed="64"/>
      </patternFill>
    </fill>
    <fill>
      <patternFill patternType="solid">
        <fgColor rgb="FF9AB5E4"/>
        <bgColor indexed="64"/>
      </patternFill>
    </fill>
    <fill>
      <patternFill patternType="solid">
        <fgColor rgb="FF436ADF"/>
        <bgColor indexed="64"/>
      </patternFill>
    </fill>
    <fill>
      <patternFill patternType="solid">
        <fgColor rgb="FF12296D"/>
        <bgColor indexed="64"/>
      </patternFill>
    </fill>
    <fill>
      <patternFill patternType="solid">
        <fgColor rgb="FF92A9ED"/>
        <bgColor indexed="64"/>
      </patternFill>
    </fill>
    <fill>
      <patternFill patternType="solid">
        <fgColor rgb="FFFBFBFC"/>
        <bgColor indexed="64"/>
      </patternFill>
    </fill>
    <fill>
      <patternFill patternType="solid">
        <fgColor rgb="FF3E3E42"/>
        <bgColor indexed="64"/>
      </patternFill>
    </fill>
    <fill>
      <patternFill patternType="solid">
        <fgColor rgb="FFBEBEC1"/>
        <bgColor indexed="64"/>
      </patternFill>
    </fill>
    <fill>
      <patternFill patternType="solid">
        <fgColor rgb="FFEFEFF1"/>
        <bgColor indexed="64"/>
      </patternFill>
    </fill>
    <fill>
      <patternFill patternType="solid">
        <fgColor rgb="FF3B3B45"/>
        <bgColor indexed="64"/>
      </patternFill>
    </fill>
    <fill>
      <patternFill patternType="solid">
        <fgColor rgb="FFBABAC4"/>
        <bgColor indexed="64"/>
      </patternFill>
    </fill>
    <fill>
      <patternFill patternType="solid">
        <fgColor rgb="FF0F0F7A"/>
        <bgColor indexed="64"/>
      </patternFill>
    </fill>
    <fill>
      <patternFill patternType="solid">
        <fgColor rgb="FF0E0E71"/>
        <bgColor indexed="64"/>
      </patternFill>
    </fill>
    <fill>
      <patternFill patternType="solid">
        <fgColor rgb="FF8E8EF1"/>
        <bgColor indexed="64"/>
      </patternFill>
    </fill>
    <fill>
      <patternFill patternType="solid">
        <fgColor rgb="FF8080FF"/>
        <bgColor indexed="64"/>
      </patternFill>
    </fill>
    <fill>
      <patternFill patternType="solid">
        <fgColor rgb="FF6857D0"/>
        <bgColor indexed="64"/>
      </patternFill>
    </fill>
    <fill>
      <patternFill patternType="solid">
        <fgColor rgb="FF261C64"/>
        <bgColor indexed="64"/>
      </patternFill>
    </fill>
    <fill>
      <patternFill patternType="solid">
        <fgColor rgb="FFA59BE3"/>
        <bgColor indexed="64"/>
      </patternFill>
    </fill>
    <fill>
      <patternFill patternType="solid">
        <fgColor rgb="FF3C2C9C"/>
        <bgColor indexed="64"/>
      </patternFill>
    </fill>
    <fill>
      <patternFill patternType="solid">
        <fgColor rgb="FFA69BE3"/>
        <bgColor indexed="64"/>
      </patternFill>
    </fill>
    <fill>
      <patternFill patternType="solid">
        <fgColor rgb="FF897CDA"/>
        <bgColor indexed="64"/>
      </patternFill>
    </fill>
    <fill>
      <patternFill patternType="solid">
        <fgColor rgb="FF967AD1"/>
        <bgColor indexed="64"/>
      </patternFill>
    </fill>
    <fill>
      <patternFill patternType="solid">
        <fgColor rgb="FF35215F"/>
        <bgColor indexed="64"/>
      </patternFill>
    </fill>
    <fill>
      <patternFill patternType="solid">
        <fgColor rgb="FFB4A0DE"/>
        <bgColor indexed="64"/>
      </patternFill>
    </fill>
    <fill>
      <patternFill patternType="solid">
        <fgColor rgb="FF8A25E8"/>
        <bgColor indexed="64"/>
      </patternFill>
    </fill>
    <fill>
      <patternFill patternType="solid">
        <fgColor rgb="FF420C73"/>
        <bgColor indexed="64"/>
      </patternFill>
    </fill>
    <fill>
      <patternFill patternType="solid">
        <fgColor rgb="FFC18CF3"/>
        <bgColor indexed="64"/>
      </patternFill>
    </fill>
    <fill>
      <patternFill patternType="solid">
        <fgColor rgb="FF4A0080"/>
        <bgColor indexed="64"/>
      </patternFill>
    </fill>
    <fill>
      <patternFill patternType="solid">
        <fgColor rgb="FFC980FF"/>
        <bgColor indexed="64"/>
      </patternFill>
    </fill>
    <fill>
      <patternFill patternType="solid">
        <fgColor rgb="FF9F1FDF"/>
        <bgColor indexed="64"/>
      </patternFill>
    </fill>
    <fill>
      <patternFill patternType="solid">
        <fgColor rgb="FF501070"/>
        <bgColor indexed="64"/>
      </patternFill>
    </fill>
    <fill>
      <patternFill patternType="solid">
        <fgColor rgb="FFCF8FEF"/>
        <bgColor indexed="64"/>
      </patternFill>
    </fill>
    <fill>
      <patternFill patternType="solid">
        <fgColor rgb="FF590080"/>
        <bgColor indexed="64"/>
      </patternFill>
    </fill>
    <fill>
      <patternFill patternType="solid">
        <fgColor rgb="FFD980FF"/>
        <bgColor indexed="64"/>
      </patternFill>
    </fill>
    <fill>
      <patternFill patternType="solid">
        <fgColor rgb="FFBB54D4"/>
        <bgColor indexed="64"/>
      </patternFill>
    </fill>
    <fill>
      <patternFill patternType="solid">
        <fgColor rgb="FF571A66"/>
        <bgColor indexed="64"/>
      </patternFill>
    </fill>
    <fill>
      <patternFill patternType="solid">
        <fgColor rgb="FFD699E5"/>
        <bgColor indexed="64"/>
      </patternFill>
    </fill>
    <fill>
      <patternFill patternType="solid">
        <fgColor rgb="FFD1C6D1"/>
        <bgColor indexed="64"/>
      </patternFill>
    </fill>
    <fill>
      <patternFill patternType="solid">
        <fgColor rgb="FF473847"/>
        <bgColor indexed="64"/>
      </patternFill>
    </fill>
    <fill>
      <patternFill patternType="solid">
        <fgColor rgb="FFC7B8C7"/>
        <bgColor indexed="64"/>
      </patternFill>
    </fill>
    <fill>
      <patternFill patternType="solid">
        <fgColor rgb="FFD0ADD0"/>
        <bgColor indexed="64"/>
      </patternFill>
    </fill>
    <fill>
      <patternFill patternType="solid">
        <fgColor rgb="FF512E51"/>
        <bgColor indexed="64"/>
      </patternFill>
    </fill>
    <fill>
      <patternFill patternType="solid">
        <fgColor rgb="FFD1AED1"/>
        <bgColor indexed="64"/>
      </patternFill>
    </fill>
    <fill>
      <patternFill patternType="solid">
        <fgColor rgb="FFD898D8"/>
        <bgColor indexed="64"/>
      </patternFill>
    </fill>
    <fill>
      <patternFill patternType="solid">
        <fgColor rgb="FF5D235D"/>
        <bgColor indexed="64"/>
      </patternFill>
    </fill>
    <fill>
      <patternFill patternType="solid">
        <fgColor rgb="FFDCA2DC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D179CD"/>
        <bgColor indexed="64"/>
      </patternFill>
    </fill>
    <fill>
      <patternFill patternType="solid">
        <fgColor rgb="FF5F215C"/>
        <bgColor indexed="64"/>
      </patternFill>
    </fill>
    <fill>
      <patternFill patternType="solid">
        <fgColor rgb="FFDEA0DC"/>
        <bgColor indexed="64"/>
      </patternFill>
    </fill>
    <fill>
      <patternFill patternType="solid">
        <fgColor rgb="FFD00C87"/>
        <bgColor indexed="64"/>
      </patternFill>
    </fill>
    <fill>
      <patternFill patternType="solid">
        <fgColor rgb="FF79074E"/>
        <bgColor indexed="64"/>
      </patternFill>
    </fill>
    <fill>
      <patternFill patternType="solid">
        <fgColor rgb="FFF886CE"/>
        <bgColor indexed="64"/>
      </patternFill>
    </fill>
    <fill>
      <patternFill patternType="solid">
        <fgColor rgb="FFF61D92"/>
        <bgColor indexed="64"/>
      </patternFill>
    </fill>
    <fill>
      <patternFill patternType="solid">
        <fgColor rgb="FF7A0545"/>
        <bgColor indexed="64"/>
      </patternFill>
    </fill>
    <fill>
      <patternFill patternType="solid">
        <fgColor rgb="FFFA85C4"/>
        <bgColor indexed="64"/>
      </patternFill>
    </fill>
    <fill>
      <patternFill patternType="solid">
        <fgColor rgb="FFE088B4"/>
        <bgColor indexed="64"/>
      </patternFill>
    </fill>
    <fill>
      <patternFill patternType="solid">
        <fgColor rgb="FF651A40"/>
        <bgColor indexed="64"/>
      </patternFill>
    </fill>
    <fill>
      <patternFill patternType="solid">
        <fgColor rgb="FFE59ABF"/>
        <bgColor indexed="64"/>
      </patternFill>
    </fill>
    <fill>
      <patternFill patternType="solid">
        <fgColor rgb="FFF8F7F7"/>
        <bgColor indexed="64"/>
      </patternFill>
    </fill>
    <fill>
      <patternFill patternType="solid">
        <fgColor rgb="FF443C3E"/>
        <bgColor indexed="64"/>
      </patternFill>
    </fill>
    <fill>
      <patternFill patternType="solid">
        <fgColor rgb="FFC3BCBE"/>
        <bgColor indexed="64"/>
      </patternFill>
    </fill>
    <fill>
      <patternFill patternType="solid">
        <fgColor rgb="FFD17A96"/>
        <bgColor indexed="64"/>
      </patternFill>
    </fill>
    <fill>
      <patternFill patternType="solid">
        <fgColor rgb="FF5F2135"/>
        <bgColor indexed="64"/>
      </patternFill>
    </fill>
    <fill>
      <patternFill patternType="solid">
        <fgColor rgb="FFDEA0B4"/>
        <bgColor indexed="64"/>
      </patternFill>
    </fill>
    <fill>
      <patternFill patternType="solid">
        <fgColor rgb="FFE50B37"/>
        <bgColor indexed="64"/>
      </patternFill>
    </fill>
    <fill>
      <patternFill patternType="solid">
        <fgColor rgb="FF7A061D"/>
        <bgColor indexed="64"/>
      </patternFill>
    </fill>
    <fill>
      <patternFill patternType="solid">
        <fgColor rgb="FFF9859C"/>
        <bgColor indexed="64"/>
      </patternFill>
    </fill>
    <fill>
      <patternFill patternType="solid">
        <fgColor rgb="FFE7D8DA"/>
        <bgColor indexed="64"/>
      </patternFill>
    </fill>
    <fill>
      <patternFill patternType="solid">
        <fgColor rgb="FF503035"/>
        <bgColor indexed="64"/>
      </patternFill>
    </fill>
    <fill>
      <patternFill patternType="solid">
        <fgColor rgb="FFCFB0B5"/>
        <bgColor indexed="64"/>
      </patternFill>
    </fill>
    <fill>
      <patternFill patternType="solid">
        <fgColor rgb="FFE5D0D3"/>
        <bgColor indexed="64"/>
      </patternFill>
    </fill>
    <fill>
      <patternFill patternType="solid">
        <fgColor rgb="FF522D33"/>
        <bgColor indexed="64"/>
      </patternFill>
    </fill>
    <fill>
      <patternFill patternType="solid">
        <fgColor rgb="FFD2ADB2"/>
        <bgColor indexed="64"/>
      </patternFill>
    </fill>
    <fill>
      <patternFill patternType="solid">
        <fgColor rgb="FF522E31"/>
        <bgColor indexed="64"/>
      </patternFill>
    </fill>
    <fill>
      <patternFill patternType="solid">
        <fgColor rgb="FF594C27"/>
        <bgColor indexed="64"/>
      </patternFill>
    </fill>
    <fill>
      <patternFill patternType="solid">
        <fgColor rgb="FF31651B"/>
        <bgColor indexed="64"/>
      </patternFill>
    </fill>
    <fill>
      <patternFill patternType="solid">
        <fgColor rgb="FF283B5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0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/>
    </xf>
    <xf numFmtId="0" fontId="7" fillId="11" borderId="0" xfId="0" applyFont="1" applyFill="1"/>
    <xf numFmtId="1" fontId="0" fillId="0" borderId="0" xfId="0" applyNumberFormat="1" applyAlignment="1">
      <alignment horizontal="left"/>
    </xf>
    <xf numFmtId="0" fontId="7" fillId="12" borderId="0" xfId="0" applyFont="1" applyFill="1"/>
    <xf numFmtId="0" fontId="7" fillId="13" borderId="0" xfId="0" applyFont="1" applyFill="1"/>
    <xf numFmtId="0" fontId="7" fillId="14" borderId="0" xfId="0" applyFont="1" applyFill="1"/>
    <xf numFmtId="0" fontId="7" fillId="15" borderId="0" xfId="0" applyFont="1" applyFill="1"/>
    <xf numFmtId="0" fontId="7" fillId="16" borderId="0" xfId="0" applyFont="1" applyFill="1"/>
    <xf numFmtId="0" fontId="7" fillId="17" borderId="0" xfId="0" applyFont="1" applyFill="1"/>
    <xf numFmtId="0" fontId="7" fillId="18" borderId="0" xfId="0" applyFont="1" applyFill="1"/>
    <xf numFmtId="0" fontId="7" fillId="19" borderId="0" xfId="0" applyFont="1" applyFill="1"/>
    <xf numFmtId="0" fontId="7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8" fillId="23" borderId="0" xfId="0" applyFont="1" applyFill="1"/>
    <xf numFmtId="0" fontId="8" fillId="24" borderId="0" xfId="0" applyFont="1" applyFill="1"/>
    <xf numFmtId="0" fontId="8" fillId="25" borderId="0" xfId="0" applyFont="1" applyFill="1"/>
    <xf numFmtId="0" fontId="8" fillId="26" borderId="0" xfId="0" applyFont="1" applyFill="1"/>
    <xf numFmtId="0" fontId="8" fillId="27" borderId="0" xfId="0" applyFont="1" applyFill="1"/>
    <xf numFmtId="0" fontId="8" fillId="28" borderId="0" xfId="0" applyFont="1" applyFill="1"/>
    <xf numFmtId="0" fontId="8" fillId="29" borderId="0" xfId="0" applyFont="1" applyFill="1"/>
    <xf numFmtId="0" fontId="8" fillId="30" borderId="0" xfId="0" applyFont="1" applyFill="1"/>
    <xf numFmtId="0" fontId="9" fillId="0" borderId="0" xfId="0" applyFont="1"/>
    <xf numFmtId="0" fontId="8" fillId="31" borderId="0" xfId="0" applyFont="1" applyFill="1"/>
    <xf numFmtId="0" fontId="8" fillId="32" borderId="0" xfId="0" applyFont="1" applyFill="1"/>
    <xf numFmtId="0" fontId="8" fillId="33" borderId="0" xfId="0" applyFont="1" applyFill="1"/>
    <xf numFmtId="0" fontId="7" fillId="34" borderId="0" xfId="0" applyFont="1" applyFill="1"/>
    <xf numFmtId="0" fontId="7" fillId="35" borderId="0" xfId="0" applyFont="1" applyFill="1"/>
    <xf numFmtId="0" fontId="7" fillId="36" borderId="0" xfId="0" applyFont="1" applyFill="1"/>
    <xf numFmtId="0" fontId="7" fillId="37" borderId="0" xfId="0" applyFont="1" applyFill="1"/>
    <xf numFmtId="0" fontId="7" fillId="38" borderId="0" xfId="0" applyFont="1" applyFill="1"/>
    <xf numFmtId="0" fontId="7" fillId="39" borderId="0" xfId="0" applyFont="1" applyFill="1"/>
    <xf numFmtId="0" fontId="7" fillId="40" borderId="0" xfId="0" applyFont="1" applyFill="1"/>
    <xf numFmtId="0" fontId="7" fillId="41" borderId="0" xfId="0" applyFont="1" applyFill="1"/>
    <xf numFmtId="0" fontId="7" fillId="42" borderId="0" xfId="0" applyFont="1" applyFill="1"/>
    <xf numFmtId="0" fontId="8" fillId="43" borderId="0" xfId="0" applyFont="1" applyFill="1"/>
    <xf numFmtId="0" fontId="8" fillId="44" borderId="0" xfId="0" applyFont="1" applyFill="1"/>
    <xf numFmtId="0" fontId="8" fillId="6" borderId="0" xfId="0" applyFont="1" applyFill="1"/>
    <xf numFmtId="0" fontId="8" fillId="45" borderId="0" xfId="0" applyFont="1" applyFill="1"/>
    <xf numFmtId="0" fontId="8" fillId="46" borderId="0" xfId="0" applyFont="1" applyFill="1"/>
    <xf numFmtId="0" fontId="8" fillId="47" borderId="0" xfId="0" applyFont="1" applyFill="1"/>
    <xf numFmtId="0" fontId="7" fillId="7" borderId="0" xfId="0" applyFont="1" applyFill="1"/>
    <xf numFmtId="0" fontId="7" fillId="48" borderId="0" xfId="0" applyFont="1" applyFill="1"/>
    <xf numFmtId="0" fontId="7" fillId="49" borderId="0" xfId="0" applyFont="1" applyFill="1"/>
    <xf numFmtId="0" fontId="7" fillId="50" borderId="0" xfId="0" applyFont="1" applyFill="1"/>
    <xf numFmtId="0" fontId="7" fillId="51" borderId="0" xfId="0" applyFont="1" applyFill="1"/>
    <xf numFmtId="0" fontId="8" fillId="5" borderId="0" xfId="0" applyFont="1" applyFill="1"/>
    <xf numFmtId="0" fontId="7" fillId="52" borderId="0" xfId="0" applyFont="1" applyFill="1"/>
    <xf numFmtId="0" fontId="8" fillId="53" borderId="0" xfId="0" applyFont="1" applyFill="1"/>
    <xf numFmtId="0" fontId="7" fillId="54" borderId="0" xfId="0" applyFont="1" applyFill="1"/>
    <xf numFmtId="0" fontId="8" fillId="55" borderId="0" xfId="0" applyFont="1" applyFill="1"/>
    <xf numFmtId="0" fontId="8" fillId="56" borderId="0" xfId="0" applyFont="1" applyFill="1"/>
    <xf numFmtId="0" fontId="7" fillId="57" borderId="0" xfId="0" applyFont="1" applyFill="1"/>
    <xf numFmtId="0" fontId="7" fillId="58" borderId="0" xfId="0" applyFont="1" applyFill="1"/>
    <xf numFmtId="0" fontId="7" fillId="59" borderId="0" xfId="0" applyFont="1" applyFill="1"/>
    <xf numFmtId="0" fontId="7" fillId="60" borderId="0" xfId="0" applyFont="1" applyFill="1"/>
    <xf numFmtId="0" fontId="7" fillId="61" borderId="0" xfId="0" applyFont="1" applyFill="1"/>
    <xf numFmtId="0" fontId="7" fillId="62" borderId="0" xfId="0" applyFont="1" applyFill="1"/>
    <xf numFmtId="0" fontId="7" fillId="63" borderId="0" xfId="0" applyFont="1" applyFill="1"/>
    <xf numFmtId="0" fontId="7" fillId="64" borderId="0" xfId="0" applyFont="1" applyFill="1"/>
    <xf numFmtId="0" fontId="7" fillId="65" borderId="0" xfId="0" applyFont="1" applyFill="1"/>
    <xf numFmtId="0" fontId="7" fillId="66" borderId="0" xfId="0" applyFont="1" applyFill="1"/>
    <xf numFmtId="0" fontId="7" fillId="67" borderId="0" xfId="0" applyFont="1" applyFill="1"/>
    <xf numFmtId="0" fontId="7" fillId="68" borderId="0" xfId="0" applyFont="1" applyFill="1"/>
    <xf numFmtId="0" fontId="7" fillId="69" borderId="0" xfId="0" applyFont="1" applyFill="1"/>
    <xf numFmtId="0" fontId="7" fillId="70" borderId="0" xfId="0" applyFont="1" applyFill="1"/>
    <xf numFmtId="0" fontId="7" fillId="71" borderId="0" xfId="0" applyFont="1" applyFill="1"/>
    <xf numFmtId="0" fontId="7" fillId="72" borderId="0" xfId="0" applyFont="1" applyFill="1"/>
    <xf numFmtId="0" fontId="7" fillId="73" borderId="0" xfId="0" applyFont="1" applyFill="1"/>
    <xf numFmtId="0" fontId="8" fillId="74" borderId="0" xfId="0" applyFont="1" applyFill="1"/>
    <xf numFmtId="0" fontId="7" fillId="10" borderId="0" xfId="0" applyFont="1" applyFill="1"/>
    <xf numFmtId="0" fontId="7" fillId="75" borderId="0" xfId="0" applyFont="1" applyFill="1"/>
    <xf numFmtId="0" fontId="7" fillId="8" borderId="0" xfId="0" applyFont="1" applyFill="1"/>
    <xf numFmtId="0" fontId="7" fillId="9" borderId="0" xfId="0" applyFont="1" applyFill="1"/>
    <xf numFmtId="0" fontId="7" fillId="76" borderId="0" xfId="0" applyFont="1" applyFill="1"/>
    <xf numFmtId="0" fontId="7" fillId="77" borderId="0" xfId="0" applyFont="1" applyFill="1"/>
    <xf numFmtId="0" fontId="7" fillId="78" borderId="0" xfId="0" applyFont="1" applyFill="1"/>
    <xf numFmtId="0" fontId="7" fillId="79" borderId="0" xfId="0" applyFont="1" applyFill="1"/>
    <xf numFmtId="0" fontId="7" fillId="80" borderId="0" xfId="0" applyFont="1" applyFill="1"/>
    <xf numFmtId="0" fontId="7" fillId="81" borderId="0" xfId="0" applyFont="1" applyFill="1"/>
    <xf numFmtId="0" fontId="7" fillId="82" borderId="0" xfId="0" applyFont="1" applyFill="1"/>
    <xf numFmtId="0" fontId="8" fillId="83" borderId="0" xfId="0" applyFont="1" applyFill="1"/>
    <xf numFmtId="0" fontId="7" fillId="84" borderId="0" xfId="0" applyFont="1" applyFill="1"/>
    <xf numFmtId="0" fontId="8" fillId="85" borderId="0" xfId="0" applyFont="1" applyFill="1"/>
    <xf numFmtId="0" fontId="7" fillId="86" borderId="0" xfId="0" applyFont="1" applyFill="1"/>
    <xf numFmtId="0" fontId="8" fillId="87" borderId="0" xfId="0" applyFont="1" applyFill="1"/>
    <xf numFmtId="0" fontId="7" fillId="88" borderId="0" xfId="0" applyFont="1" applyFill="1"/>
    <xf numFmtId="0" fontId="7" fillId="89" borderId="0" xfId="0" applyFont="1" applyFill="1"/>
    <xf numFmtId="0" fontId="7" fillId="90" borderId="0" xfId="0" applyFont="1" applyFill="1"/>
    <xf numFmtId="0" fontId="7" fillId="91" borderId="0" xfId="0" applyFont="1" applyFill="1"/>
    <xf numFmtId="0" fontId="7" fillId="92" borderId="0" xfId="0" applyFont="1" applyFill="1"/>
    <xf numFmtId="0" fontId="7" fillId="93" borderId="0" xfId="0" applyFont="1" applyFill="1"/>
    <xf numFmtId="0" fontId="7" fillId="94" borderId="0" xfId="0" applyFont="1" applyFill="1"/>
    <xf numFmtId="0" fontId="8" fillId="95" borderId="0" xfId="0" applyFont="1" applyFill="1"/>
    <xf numFmtId="0" fontId="7" fillId="96" borderId="0" xfId="0" applyFont="1" applyFill="1"/>
    <xf numFmtId="0" fontId="8" fillId="97" borderId="0" xfId="0" applyFont="1" applyFill="1"/>
    <xf numFmtId="0" fontId="8" fillId="98" borderId="0" xfId="0" applyFont="1" applyFill="1"/>
    <xf numFmtId="0" fontId="7" fillId="99" borderId="0" xfId="0" applyFont="1" applyFill="1"/>
    <xf numFmtId="0" fontId="8" fillId="100" borderId="0" xfId="0" applyFont="1" applyFill="1"/>
    <xf numFmtId="0" fontId="8" fillId="101" borderId="0" xfId="0" applyFont="1" applyFill="1"/>
    <xf numFmtId="0" fontId="7" fillId="102" borderId="0" xfId="0" applyFont="1" applyFill="1"/>
    <xf numFmtId="0" fontId="7" fillId="103" borderId="0" xfId="0" applyFont="1" applyFill="1"/>
    <xf numFmtId="0" fontId="7" fillId="104" borderId="0" xfId="0" applyFont="1" applyFill="1"/>
    <xf numFmtId="0" fontId="7" fillId="105" borderId="0" xfId="0" applyFont="1" applyFill="1"/>
    <xf numFmtId="0" fontId="7" fillId="106" borderId="0" xfId="0" applyFont="1" applyFill="1"/>
    <xf numFmtId="0" fontId="7" fillId="107" borderId="0" xfId="0" applyFont="1" applyFill="1"/>
    <xf numFmtId="0" fontId="8" fillId="108" borderId="0" xfId="0" applyFont="1" applyFill="1"/>
    <xf numFmtId="0" fontId="7" fillId="109" borderId="0" xfId="0" applyFont="1" applyFill="1"/>
    <xf numFmtId="0" fontId="7" fillId="110" borderId="0" xfId="0" applyFont="1" applyFill="1"/>
    <xf numFmtId="0" fontId="7" fillId="111" borderId="0" xfId="0" applyFont="1" applyFill="1"/>
    <xf numFmtId="0" fontId="7" fillId="112" borderId="0" xfId="0" applyFont="1" applyFill="1"/>
    <xf numFmtId="0" fontId="8" fillId="113" borderId="0" xfId="0" applyFont="1" applyFill="1"/>
    <xf numFmtId="0" fontId="8" fillId="114" borderId="0" xfId="0" applyFont="1" applyFill="1"/>
    <xf numFmtId="0" fontId="8" fillId="115" borderId="0" xfId="0" applyFont="1" applyFill="1"/>
    <xf numFmtId="0" fontId="7" fillId="116" borderId="0" xfId="0" applyFont="1" applyFill="1"/>
    <xf numFmtId="0" fontId="7" fillId="117" borderId="0" xfId="0" applyFont="1" applyFill="1"/>
    <xf numFmtId="0" fontId="8" fillId="118" borderId="0" xfId="0" applyFont="1" applyFill="1"/>
    <xf numFmtId="0" fontId="7" fillId="119" borderId="0" xfId="0" applyFont="1" applyFill="1"/>
    <xf numFmtId="0" fontId="7" fillId="4" borderId="0" xfId="0" applyFont="1" applyFill="1"/>
    <xf numFmtId="0" fontId="7" fillId="120" borderId="0" xfId="0" applyFont="1" applyFill="1"/>
    <xf numFmtId="0" fontId="7" fillId="121" borderId="0" xfId="0" applyFont="1" applyFill="1"/>
    <xf numFmtId="0" fontId="7" fillId="122" borderId="0" xfId="0" applyFont="1" applyFill="1"/>
    <xf numFmtId="0" fontId="8" fillId="123" borderId="0" xfId="0" applyFont="1" applyFill="1"/>
    <xf numFmtId="0" fontId="7" fillId="3" borderId="0" xfId="0" applyFont="1" applyFill="1"/>
    <xf numFmtId="0" fontId="8" fillId="2" borderId="0" xfId="0" applyFont="1" applyFill="1"/>
    <xf numFmtId="0" fontId="8" fillId="124" borderId="0" xfId="0" applyFont="1" applyFill="1"/>
    <xf numFmtId="0" fontId="8" fillId="125" borderId="0" xfId="0" applyFont="1" applyFill="1"/>
    <xf numFmtId="0" fontId="7" fillId="126" borderId="0" xfId="0" applyFont="1" applyFill="1"/>
    <xf numFmtId="0" fontId="7" fillId="127" borderId="0" xfId="0" applyFont="1" applyFill="1"/>
    <xf numFmtId="0" fontId="8" fillId="128" borderId="0" xfId="0" applyFont="1" applyFill="1"/>
    <xf numFmtId="0" fontId="7" fillId="129" borderId="0" xfId="0" applyFont="1" applyFill="1"/>
    <xf numFmtId="0" fontId="7" fillId="130" borderId="0" xfId="0" applyFont="1" applyFill="1"/>
    <xf numFmtId="0" fontId="8" fillId="131" borderId="0" xfId="0" applyFont="1" applyFill="1"/>
    <xf numFmtId="0" fontId="8" fillId="132" borderId="0" xfId="0" applyFont="1" applyFill="1"/>
    <xf numFmtId="0" fontId="8" fillId="133" borderId="0" xfId="0" applyFont="1" applyFill="1"/>
    <xf numFmtId="0" fontId="8" fillId="134" borderId="0" xfId="0" applyFont="1" applyFill="1"/>
    <xf numFmtId="0" fontId="8" fillId="135" borderId="0" xfId="0" applyFont="1" applyFill="1"/>
    <xf numFmtId="0" fontId="8" fillId="136" borderId="0" xfId="0" applyFont="1" applyFill="1"/>
    <xf numFmtId="0" fontId="8" fillId="137" borderId="0" xfId="0" applyFont="1" applyFill="1"/>
    <xf numFmtId="0" fontId="8" fillId="138" borderId="0" xfId="0" applyFont="1" applyFill="1"/>
    <xf numFmtId="0" fontId="8" fillId="139" borderId="0" xfId="0" applyFont="1" applyFill="1"/>
    <xf numFmtId="0" fontId="8" fillId="140" borderId="0" xfId="0" applyFont="1" applyFill="1"/>
    <xf numFmtId="0" fontId="8" fillId="141" borderId="0" xfId="0" applyFont="1" applyFill="1"/>
    <xf numFmtId="0" fontId="8" fillId="142" borderId="0" xfId="0" applyFont="1" applyFill="1"/>
    <xf numFmtId="0" fontId="8" fillId="143" borderId="0" xfId="0" applyFont="1" applyFill="1"/>
    <xf numFmtId="0" fontId="8" fillId="144" borderId="0" xfId="0" applyFont="1" applyFill="1"/>
    <xf numFmtId="0" fontId="7" fillId="145" borderId="0" xfId="0" applyFont="1" applyFill="1"/>
    <xf numFmtId="0" fontId="7" fillId="146" borderId="0" xfId="0" applyFont="1" applyFill="1"/>
    <xf numFmtId="0" fontId="7" fillId="147" borderId="0" xfId="0" applyFont="1" applyFill="1"/>
    <xf numFmtId="0" fontId="8" fillId="148" borderId="0" xfId="0" applyFont="1" applyFill="1"/>
    <xf numFmtId="0" fontId="8" fillId="149" borderId="0" xfId="0" applyFont="1" applyFill="1"/>
    <xf numFmtId="0" fontId="8" fillId="150" borderId="0" xfId="0" applyFont="1" applyFill="1"/>
    <xf numFmtId="0" fontId="7" fillId="151" borderId="0" xfId="0" applyFont="1" applyFill="1"/>
    <xf numFmtId="0" fontId="8" fillId="152" borderId="0" xfId="0" applyFont="1" applyFill="1"/>
    <xf numFmtId="0" fontId="8" fillId="153" borderId="0" xfId="0" applyFont="1" applyFill="1"/>
    <xf numFmtId="0" fontId="7" fillId="154" borderId="0" xfId="0" applyFont="1" applyFill="1"/>
    <xf numFmtId="0" fontId="7" fillId="155" borderId="0" xfId="0" applyFont="1" applyFill="1"/>
    <xf numFmtId="0" fontId="7" fillId="156" borderId="0" xfId="0" applyFont="1" applyFill="1"/>
    <xf numFmtId="0" fontId="8" fillId="157" borderId="0" xfId="0" applyFont="1" applyFill="1"/>
    <xf numFmtId="0" fontId="7" fillId="158" borderId="0" xfId="0" applyFont="1" applyFill="1"/>
    <xf numFmtId="0" fontId="7" fillId="159" borderId="0" xfId="0" applyFont="1" applyFill="1"/>
    <xf numFmtId="0" fontId="5" fillId="0" borderId="0" xfId="0" applyFont="1" applyAlignment="1">
      <alignment horizontal="left"/>
    </xf>
    <xf numFmtId="0" fontId="1" fillId="160" borderId="0" xfId="0" applyFont="1" applyFill="1" applyAlignment="1">
      <alignment horizontal="left"/>
    </xf>
    <xf numFmtId="0" fontId="3" fillId="161" borderId="0" xfId="0" applyFont="1" applyFill="1" applyAlignment="1">
      <alignment horizontal="left"/>
    </xf>
    <xf numFmtId="0" fontId="1" fillId="162" borderId="0" xfId="0" applyFont="1" applyFill="1" applyAlignment="1">
      <alignment horizontal="left"/>
    </xf>
    <xf numFmtId="0" fontId="1" fillId="163" borderId="0" xfId="0" applyFont="1" applyFill="1" applyAlignment="1">
      <alignment horizontal="left"/>
    </xf>
    <xf numFmtId="0" fontId="3" fillId="164" borderId="0" xfId="0" applyFont="1" applyFill="1" applyAlignment="1">
      <alignment horizontal="left"/>
    </xf>
    <xf numFmtId="0" fontId="1" fillId="165" borderId="0" xfId="0" applyFont="1" applyFill="1" applyAlignment="1">
      <alignment horizontal="left"/>
    </xf>
    <xf numFmtId="0" fontId="1" fillId="166" borderId="0" xfId="0" applyFont="1" applyFill="1" applyAlignment="1">
      <alignment horizontal="left"/>
    </xf>
    <xf numFmtId="0" fontId="3" fillId="167" borderId="0" xfId="0" applyFont="1" applyFill="1" applyAlignment="1">
      <alignment horizontal="left"/>
    </xf>
    <xf numFmtId="0" fontId="1" fillId="168" borderId="0" xfId="0" applyFont="1" applyFill="1" applyAlignment="1">
      <alignment horizontal="left"/>
    </xf>
    <xf numFmtId="0" fontId="1" fillId="169" borderId="0" xfId="0" applyFont="1" applyFill="1" applyAlignment="1">
      <alignment horizontal="left"/>
    </xf>
    <xf numFmtId="0" fontId="3" fillId="170" borderId="0" xfId="0" applyFont="1" applyFill="1" applyAlignment="1">
      <alignment horizontal="left"/>
    </xf>
    <xf numFmtId="0" fontId="1" fillId="171" borderId="0" xfId="0" applyFont="1" applyFill="1" applyAlignment="1">
      <alignment horizontal="left"/>
    </xf>
    <xf numFmtId="0" fontId="1" fillId="15" borderId="0" xfId="0" applyFont="1" applyFill="1" applyAlignment="1">
      <alignment horizontal="left"/>
    </xf>
    <xf numFmtId="0" fontId="3" fillId="172" borderId="0" xfId="0" applyFont="1" applyFill="1" applyAlignment="1">
      <alignment horizontal="left"/>
    </xf>
    <xf numFmtId="0" fontId="1" fillId="173" borderId="0" xfId="0" applyFont="1" applyFill="1" applyAlignment="1">
      <alignment horizontal="left"/>
    </xf>
    <xf numFmtId="0" fontId="1" fillId="174" borderId="0" xfId="0" applyFont="1" applyFill="1" applyAlignment="1">
      <alignment horizontal="left"/>
    </xf>
    <xf numFmtId="0" fontId="3" fillId="175" borderId="0" xfId="0" applyFont="1" applyFill="1" applyAlignment="1">
      <alignment horizontal="left"/>
    </xf>
    <xf numFmtId="0" fontId="1" fillId="176" borderId="0" xfId="0" applyFont="1" applyFill="1" applyAlignment="1">
      <alignment horizontal="left"/>
    </xf>
    <xf numFmtId="0" fontId="1" fillId="177" borderId="0" xfId="0" applyFont="1" applyFill="1" applyAlignment="1">
      <alignment horizontal="left"/>
    </xf>
    <xf numFmtId="0" fontId="3" fillId="178" borderId="0" xfId="0" applyFont="1" applyFill="1" applyAlignment="1">
      <alignment horizontal="left"/>
    </xf>
    <xf numFmtId="0" fontId="1" fillId="179" borderId="0" xfId="0" applyFont="1" applyFill="1" applyAlignment="1">
      <alignment horizontal="left"/>
    </xf>
    <xf numFmtId="0" fontId="1" fillId="180" borderId="0" xfId="0" applyFont="1" applyFill="1" applyAlignment="1">
      <alignment horizontal="left"/>
    </xf>
    <xf numFmtId="0" fontId="3" fillId="181" borderId="0" xfId="0" applyFont="1" applyFill="1" applyAlignment="1">
      <alignment horizontal="left"/>
    </xf>
    <xf numFmtId="0" fontId="1" fillId="182" borderId="0" xfId="0" applyFont="1" applyFill="1" applyAlignment="1">
      <alignment horizontal="left"/>
    </xf>
    <xf numFmtId="0" fontId="1" fillId="183" borderId="0" xfId="0" applyFont="1" applyFill="1" applyAlignment="1">
      <alignment horizontal="left"/>
    </xf>
    <xf numFmtId="0" fontId="3" fillId="184" borderId="0" xfId="0" applyFont="1" applyFill="1" applyAlignment="1">
      <alignment horizontal="left"/>
    </xf>
    <xf numFmtId="0" fontId="1" fillId="185" borderId="0" xfId="0" applyFont="1" applyFill="1" applyAlignment="1">
      <alignment horizontal="left"/>
    </xf>
    <xf numFmtId="0" fontId="1" fillId="186" borderId="0" xfId="0" applyFont="1" applyFill="1" applyAlignment="1">
      <alignment horizontal="left"/>
    </xf>
    <xf numFmtId="0" fontId="3" fillId="187" borderId="0" xfId="0" applyFont="1" applyFill="1" applyAlignment="1">
      <alignment horizontal="left"/>
    </xf>
    <xf numFmtId="0" fontId="1" fillId="188" borderId="0" xfId="0" applyFont="1" applyFill="1" applyAlignment="1">
      <alignment horizontal="left"/>
    </xf>
    <xf numFmtId="0" fontId="3" fillId="189" borderId="0" xfId="0" applyFont="1" applyFill="1" applyAlignment="1">
      <alignment horizontal="left"/>
    </xf>
    <xf numFmtId="0" fontId="3" fillId="190" borderId="0" xfId="0" applyFont="1" applyFill="1" applyAlignment="1">
      <alignment horizontal="left"/>
    </xf>
    <xf numFmtId="0" fontId="1" fillId="191" borderId="0" xfId="0" applyFont="1" applyFill="1" applyAlignment="1">
      <alignment horizontal="left"/>
    </xf>
    <xf numFmtId="0" fontId="3" fillId="192" borderId="0" xfId="0" applyFont="1" applyFill="1" applyAlignment="1">
      <alignment horizontal="left"/>
    </xf>
    <xf numFmtId="0" fontId="3" fillId="193" borderId="0" xfId="0" applyFont="1" applyFill="1" applyAlignment="1">
      <alignment horizontal="left"/>
    </xf>
    <xf numFmtId="0" fontId="1" fillId="194" borderId="0" xfId="0" applyFont="1" applyFill="1" applyAlignment="1">
      <alignment horizontal="left"/>
    </xf>
    <xf numFmtId="0" fontId="3" fillId="195" borderId="0" xfId="0" applyFont="1" applyFill="1" applyAlignment="1">
      <alignment horizontal="left"/>
    </xf>
    <xf numFmtId="0" fontId="3" fillId="196" borderId="0" xfId="0" applyFont="1" applyFill="1" applyAlignment="1">
      <alignment horizontal="left"/>
    </xf>
    <xf numFmtId="0" fontId="1" fillId="197" borderId="0" xfId="0" applyFont="1" applyFill="1" applyAlignment="1">
      <alignment horizontal="left"/>
    </xf>
    <xf numFmtId="0" fontId="3" fillId="198" borderId="0" xfId="0" applyFont="1" applyFill="1" applyAlignment="1">
      <alignment horizontal="left"/>
    </xf>
    <xf numFmtId="0" fontId="3" fillId="199" borderId="0" xfId="0" applyFont="1" applyFill="1" applyAlignment="1">
      <alignment horizontal="left"/>
    </xf>
    <xf numFmtId="0" fontId="1" fillId="200" borderId="0" xfId="0" applyFont="1" applyFill="1" applyAlignment="1">
      <alignment horizontal="left"/>
    </xf>
    <xf numFmtId="0" fontId="3" fillId="201" borderId="0" xfId="0" applyFont="1" applyFill="1" applyAlignment="1">
      <alignment horizontal="left"/>
    </xf>
    <xf numFmtId="0" fontId="3" fillId="202" borderId="0" xfId="0" applyFont="1" applyFill="1" applyAlignment="1">
      <alignment horizontal="left"/>
    </xf>
    <xf numFmtId="0" fontId="1" fillId="203" borderId="0" xfId="0" applyFont="1" applyFill="1" applyAlignment="1">
      <alignment horizontal="left"/>
    </xf>
    <xf numFmtId="0" fontId="3" fillId="204" borderId="0" xfId="0" applyFont="1" applyFill="1" applyAlignment="1">
      <alignment horizontal="left"/>
    </xf>
    <xf numFmtId="0" fontId="3" fillId="205" borderId="0" xfId="0" applyFont="1" applyFill="1" applyAlignment="1">
      <alignment horizontal="left"/>
    </xf>
    <xf numFmtId="0" fontId="1" fillId="206" borderId="0" xfId="0" applyFont="1" applyFill="1" applyAlignment="1">
      <alignment horizontal="left"/>
    </xf>
    <xf numFmtId="0" fontId="3" fillId="27" borderId="0" xfId="0" applyFont="1" applyFill="1" applyAlignment="1">
      <alignment horizontal="left"/>
    </xf>
    <xf numFmtId="0" fontId="3" fillId="207" borderId="0" xfId="0" applyFont="1" applyFill="1" applyAlignment="1">
      <alignment horizontal="left"/>
    </xf>
    <xf numFmtId="0" fontId="1" fillId="208" borderId="0" xfId="0" applyFont="1" applyFill="1" applyAlignment="1">
      <alignment horizontal="left"/>
    </xf>
    <xf numFmtId="0" fontId="3" fillId="209" borderId="0" xfId="0" applyFont="1" applyFill="1" applyAlignment="1">
      <alignment horizontal="left"/>
    </xf>
    <xf numFmtId="0" fontId="3" fillId="210" borderId="0" xfId="0" applyFont="1" applyFill="1" applyAlignment="1">
      <alignment horizontal="left"/>
    </xf>
    <xf numFmtId="0" fontId="3" fillId="211" borderId="0" xfId="0" applyFont="1" applyFill="1" applyAlignment="1">
      <alignment horizontal="left"/>
    </xf>
    <xf numFmtId="0" fontId="1" fillId="212" borderId="0" xfId="0" applyFont="1" applyFill="1" applyAlignment="1">
      <alignment horizontal="left"/>
    </xf>
    <xf numFmtId="0" fontId="3" fillId="213" borderId="0" xfId="0" applyFont="1" applyFill="1" applyAlignment="1">
      <alignment horizontal="left"/>
    </xf>
    <xf numFmtId="0" fontId="3" fillId="214" borderId="0" xfId="0" applyFont="1" applyFill="1" applyAlignment="1">
      <alignment horizontal="left"/>
    </xf>
    <xf numFmtId="0" fontId="1" fillId="215" borderId="0" xfId="0" applyFont="1" applyFill="1" applyAlignment="1">
      <alignment horizontal="left"/>
    </xf>
    <xf numFmtId="0" fontId="3" fillId="31" borderId="0" xfId="0" applyFont="1" applyFill="1" applyAlignment="1">
      <alignment horizontal="left"/>
    </xf>
    <xf numFmtId="0" fontId="3" fillId="216" borderId="0" xfId="0" applyFont="1" applyFill="1" applyAlignment="1">
      <alignment horizontal="left"/>
    </xf>
    <xf numFmtId="0" fontId="1" fillId="217" borderId="0" xfId="0" applyFont="1" applyFill="1" applyAlignment="1">
      <alignment horizontal="left"/>
    </xf>
    <xf numFmtId="0" fontId="3" fillId="32" borderId="0" xfId="0" applyFont="1" applyFill="1" applyAlignment="1">
      <alignment horizontal="left"/>
    </xf>
    <xf numFmtId="0" fontId="3" fillId="33" borderId="0" xfId="0" applyFont="1" applyFill="1" applyAlignment="1">
      <alignment horizontal="left"/>
    </xf>
    <xf numFmtId="0" fontId="1" fillId="34" borderId="0" xfId="0" applyFont="1" applyFill="1" applyAlignment="1">
      <alignment horizontal="left"/>
    </xf>
    <xf numFmtId="0" fontId="1" fillId="35" borderId="0" xfId="0" applyFont="1" applyFill="1" applyAlignment="1">
      <alignment horizontal="left"/>
    </xf>
    <xf numFmtId="0" fontId="1" fillId="36" borderId="0" xfId="0" applyFont="1" applyFill="1" applyAlignment="1">
      <alignment horizontal="left"/>
    </xf>
    <xf numFmtId="0" fontId="1" fillId="37" borderId="0" xfId="0" applyFont="1" applyFill="1" applyAlignment="1">
      <alignment horizontal="left"/>
    </xf>
    <xf numFmtId="0" fontId="1" fillId="38" borderId="0" xfId="0" applyFont="1" applyFill="1" applyAlignment="1">
      <alignment horizontal="left"/>
    </xf>
    <xf numFmtId="0" fontId="1" fillId="39" borderId="0" xfId="0" applyFont="1" applyFill="1" applyAlignment="1">
      <alignment horizontal="left"/>
    </xf>
    <xf numFmtId="0" fontId="1" fillId="218" borderId="0" xfId="0" applyFont="1" applyFill="1" applyAlignment="1">
      <alignment horizontal="left"/>
    </xf>
    <xf numFmtId="0" fontId="3" fillId="219" borderId="0" xfId="0" applyFont="1" applyFill="1" applyAlignment="1">
      <alignment horizontal="left"/>
    </xf>
    <xf numFmtId="0" fontId="1" fillId="220" borderId="0" xfId="0" applyFont="1" applyFill="1" applyAlignment="1">
      <alignment horizontal="left"/>
    </xf>
    <xf numFmtId="0" fontId="1" fillId="221" borderId="0" xfId="0" applyFont="1" applyFill="1" applyAlignment="1">
      <alignment horizontal="left"/>
    </xf>
    <xf numFmtId="0" fontId="3" fillId="222" borderId="0" xfId="0" applyFont="1" applyFill="1" applyAlignment="1">
      <alignment horizontal="left"/>
    </xf>
    <xf numFmtId="0" fontId="1" fillId="223" borderId="0" xfId="0" applyFont="1" applyFill="1" applyAlignment="1">
      <alignment horizontal="left"/>
    </xf>
    <xf numFmtId="0" fontId="1" fillId="224" borderId="0" xfId="0" applyFont="1" applyFill="1" applyAlignment="1">
      <alignment horizontal="left"/>
    </xf>
    <xf numFmtId="0" fontId="3" fillId="225" borderId="0" xfId="0" applyFont="1" applyFill="1" applyAlignment="1">
      <alignment horizontal="left"/>
    </xf>
    <xf numFmtId="0" fontId="1" fillId="226" borderId="0" xfId="0" applyFont="1" applyFill="1" applyAlignment="1">
      <alignment horizontal="left"/>
    </xf>
    <xf numFmtId="0" fontId="3" fillId="227" borderId="0" xfId="0" applyFont="1" applyFill="1" applyAlignment="1">
      <alignment horizontal="left"/>
    </xf>
    <xf numFmtId="0" fontId="3" fillId="228" borderId="0" xfId="0" applyFont="1" applyFill="1" applyAlignment="1">
      <alignment horizontal="left"/>
    </xf>
    <xf numFmtId="0" fontId="1" fillId="229" borderId="0" xfId="0" applyFont="1" applyFill="1" applyAlignment="1">
      <alignment horizontal="left"/>
    </xf>
    <xf numFmtId="0" fontId="3" fillId="230" borderId="0" xfId="0" applyFont="1" applyFill="1" applyAlignment="1">
      <alignment horizontal="left"/>
    </xf>
    <xf numFmtId="0" fontId="3" fillId="231" borderId="0" xfId="0" applyFont="1" applyFill="1" applyAlignment="1">
      <alignment horizontal="left"/>
    </xf>
    <xf numFmtId="0" fontId="1" fillId="232" borderId="0" xfId="0" applyFont="1" applyFill="1" applyAlignment="1">
      <alignment horizontal="left"/>
    </xf>
    <xf numFmtId="0" fontId="3" fillId="233" borderId="0" xfId="0" applyFont="1" applyFill="1" applyAlignment="1">
      <alignment horizontal="left"/>
    </xf>
    <xf numFmtId="0" fontId="3" fillId="234" borderId="0" xfId="0" applyFont="1" applyFill="1" applyAlignment="1">
      <alignment horizontal="left"/>
    </xf>
    <xf numFmtId="0" fontId="1" fillId="235" borderId="0" xfId="0" applyFont="1" applyFill="1" applyAlignment="1">
      <alignment horizontal="left"/>
    </xf>
    <xf numFmtId="0" fontId="3" fillId="45" borderId="0" xfId="0" applyFont="1" applyFill="1" applyAlignment="1">
      <alignment horizontal="left"/>
    </xf>
    <xf numFmtId="0" fontId="1" fillId="236" borderId="0" xfId="0" applyFont="1" applyFill="1" applyAlignment="1">
      <alignment horizontal="left"/>
    </xf>
    <xf numFmtId="0" fontId="3" fillId="46" borderId="0" xfId="0" applyFont="1" applyFill="1" applyAlignment="1">
      <alignment horizontal="left"/>
    </xf>
    <xf numFmtId="0" fontId="3" fillId="47" borderId="0" xfId="0" applyFont="1" applyFill="1" applyAlignment="1">
      <alignment horizontal="left"/>
    </xf>
    <xf numFmtId="0" fontId="1" fillId="237" borderId="0" xfId="0" applyFont="1" applyFill="1" applyAlignment="1">
      <alignment horizontal="left"/>
    </xf>
    <xf numFmtId="0" fontId="3" fillId="238" borderId="0" xfId="0" applyFont="1" applyFill="1" applyAlignment="1">
      <alignment horizontal="left"/>
    </xf>
    <xf numFmtId="0" fontId="1" fillId="239" borderId="0" xfId="0" applyFont="1" applyFill="1" applyAlignment="1">
      <alignment horizontal="left"/>
    </xf>
    <xf numFmtId="0" fontId="1" fillId="240" borderId="0" xfId="0" applyFont="1" applyFill="1" applyAlignment="1">
      <alignment horizontal="left"/>
    </xf>
    <xf numFmtId="0" fontId="3" fillId="241" borderId="0" xfId="0" applyFont="1" applyFill="1" applyAlignment="1">
      <alignment horizontal="left"/>
    </xf>
    <xf numFmtId="0" fontId="1" fillId="242" borderId="0" xfId="0" applyFont="1" applyFill="1" applyAlignment="1">
      <alignment horizontal="left"/>
    </xf>
    <xf numFmtId="0" fontId="1" fillId="243" borderId="0" xfId="0" applyFont="1" applyFill="1" applyAlignment="1">
      <alignment horizontal="left"/>
    </xf>
    <xf numFmtId="0" fontId="3" fillId="244" borderId="0" xfId="0" applyFont="1" applyFill="1" applyAlignment="1">
      <alignment horizontal="left"/>
    </xf>
    <xf numFmtId="0" fontId="1" fillId="245" borderId="0" xfId="0" applyFont="1" applyFill="1" applyAlignment="1">
      <alignment horizontal="left"/>
    </xf>
    <xf numFmtId="0" fontId="1" fillId="246" borderId="0" xfId="0" applyFont="1" applyFill="1" applyAlignment="1">
      <alignment horizontal="left"/>
    </xf>
    <xf numFmtId="0" fontId="3" fillId="247" borderId="0" xfId="0" applyFont="1" applyFill="1" applyAlignment="1">
      <alignment horizontal="left"/>
    </xf>
    <xf numFmtId="0" fontId="1" fillId="248" borderId="0" xfId="0" applyFont="1" applyFill="1" applyAlignment="1">
      <alignment horizontal="left"/>
    </xf>
    <xf numFmtId="0" fontId="1" fillId="249" borderId="0" xfId="0" applyFont="1" applyFill="1" applyAlignment="1">
      <alignment horizontal="left"/>
    </xf>
    <xf numFmtId="0" fontId="3" fillId="250" borderId="0" xfId="0" applyFont="1" applyFill="1" applyAlignment="1">
      <alignment horizontal="left"/>
    </xf>
    <xf numFmtId="0" fontId="1" fillId="251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252" borderId="0" xfId="0" applyFont="1" applyFill="1" applyAlignment="1">
      <alignment horizontal="left"/>
    </xf>
    <xf numFmtId="0" fontId="1" fillId="253" borderId="0" xfId="0" applyFont="1" applyFill="1" applyAlignment="1">
      <alignment horizontal="left"/>
    </xf>
    <xf numFmtId="0" fontId="1" fillId="254" borderId="0" xfId="0" applyFont="1" applyFill="1" applyAlignment="1">
      <alignment horizontal="left"/>
    </xf>
    <xf numFmtId="0" fontId="3" fillId="255" borderId="0" xfId="0" applyFont="1" applyFill="1" applyAlignment="1">
      <alignment horizontal="left"/>
    </xf>
    <xf numFmtId="0" fontId="1" fillId="256" borderId="0" xfId="0" applyFont="1" applyFill="1" applyAlignment="1">
      <alignment horizontal="left"/>
    </xf>
    <xf numFmtId="0" fontId="3" fillId="257" borderId="0" xfId="0" applyFont="1" applyFill="1" applyAlignment="1">
      <alignment horizontal="left"/>
    </xf>
    <xf numFmtId="0" fontId="3" fillId="258" borderId="0" xfId="0" applyFont="1" applyFill="1" applyAlignment="1">
      <alignment horizontal="left"/>
    </xf>
    <xf numFmtId="0" fontId="1" fillId="259" borderId="0" xfId="0" applyFont="1" applyFill="1" applyAlignment="1">
      <alignment horizontal="left"/>
    </xf>
    <xf numFmtId="0" fontId="1" fillId="260" borderId="0" xfId="0" applyFont="1" applyFill="1" applyAlignment="1">
      <alignment horizontal="left"/>
    </xf>
    <xf numFmtId="0" fontId="3" fillId="261" borderId="0" xfId="0" applyFont="1" applyFill="1" applyAlignment="1">
      <alignment horizontal="left"/>
    </xf>
    <xf numFmtId="0" fontId="1" fillId="262" borderId="0" xfId="0" applyFont="1" applyFill="1" applyAlignment="1">
      <alignment horizontal="left"/>
    </xf>
    <xf numFmtId="0" fontId="3" fillId="263" borderId="0" xfId="0" applyFont="1" applyFill="1" applyAlignment="1">
      <alignment horizontal="left"/>
    </xf>
    <xf numFmtId="0" fontId="3" fillId="264" borderId="0" xfId="0" applyFont="1" applyFill="1" applyAlignment="1">
      <alignment horizontal="left"/>
    </xf>
    <xf numFmtId="0" fontId="1" fillId="265" borderId="0" xfId="0" applyFont="1" applyFill="1" applyAlignment="1">
      <alignment horizontal="left"/>
    </xf>
    <xf numFmtId="0" fontId="3" fillId="266" borderId="0" xfId="0" applyFont="1" applyFill="1" applyAlignment="1">
      <alignment horizontal="left"/>
    </xf>
    <xf numFmtId="0" fontId="3" fillId="267" borderId="0" xfId="0" applyFont="1" applyFill="1" applyAlignment="1">
      <alignment horizontal="left"/>
    </xf>
    <xf numFmtId="0" fontId="1" fillId="268" borderId="0" xfId="0" applyFont="1" applyFill="1" applyAlignment="1">
      <alignment horizontal="left"/>
    </xf>
    <xf numFmtId="0" fontId="1" fillId="269" borderId="0" xfId="0" applyFont="1" applyFill="1" applyAlignment="1">
      <alignment horizontal="left"/>
    </xf>
    <xf numFmtId="0" fontId="3" fillId="270" borderId="0" xfId="0" applyFont="1" applyFill="1" applyAlignment="1">
      <alignment horizontal="left"/>
    </xf>
    <xf numFmtId="0" fontId="1" fillId="271" borderId="0" xfId="0" applyFont="1" applyFill="1" applyAlignment="1">
      <alignment horizontal="left"/>
    </xf>
    <xf numFmtId="0" fontId="1" fillId="272" borderId="0" xfId="0" applyFont="1" applyFill="1" applyAlignment="1">
      <alignment horizontal="left"/>
    </xf>
    <xf numFmtId="0" fontId="3" fillId="273" borderId="0" xfId="0" applyFont="1" applyFill="1" applyAlignment="1">
      <alignment horizontal="left"/>
    </xf>
    <xf numFmtId="0" fontId="1" fillId="274" borderId="0" xfId="0" applyFont="1" applyFill="1" applyAlignment="1">
      <alignment horizontal="left"/>
    </xf>
    <xf numFmtId="0" fontId="1" fillId="275" borderId="0" xfId="0" applyFont="1" applyFill="1" applyAlignment="1">
      <alignment horizontal="left"/>
    </xf>
    <xf numFmtId="0" fontId="3" fillId="276" borderId="0" xfId="0" applyFont="1" applyFill="1" applyAlignment="1">
      <alignment horizontal="left"/>
    </xf>
    <xf numFmtId="0" fontId="1" fillId="277" borderId="0" xfId="0" applyFont="1" applyFill="1" applyAlignment="1">
      <alignment horizontal="left"/>
    </xf>
    <xf numFmtId="0" fontId="1" fillId="278" borderId="0" xfId="0" applyFont="1" applyFill="1" applyAlignment="1">
      <alignment horizontal="left"/>
    </xf>
    <xf numFmtId="0" fontId="3" fillId="279" borderId="0" xfId="0" applyFont="1" applyFill="1" applyAlignment="1">
      <alignment horizontal="left"/>
    </xf>
    <xf numFmtId="0" fontId="1" fillId="280" borderId="0" xfId="0" applyFont="1" applyFill="1" applyAlignment="1">
      <alignment horizontal="left"/>
    </xf>
    <xf numFmtId="0" fontId="1" fillId="281" borderId="0" xfId="0" applyFont="1" applyFill="1" applyAlignment="1">
      <alignment horizontal="left"/>
    </xf>
    <xf numFmtId="0" fontId="3" fillId="282" borderId="0" xfId="0" applyFont="1" applyFill="1" applyAlignment="1">
      <alignment horizontal="left"/>
    </xf>
    <xf numFmtId="0" fontId="1" fillId="283" borderId="0" xfId="0" applyFont="1" applyFill="1" applyAlignment="1">
      <alignment horizontal="left"/>
    </xf>
    <xf numFmtId="0" fontId="1" fillId="62" borderId="0" xfId="0" applyFont="1" applyFill="1" applyAlignment="1">
      <alignment horizontal="left"/>
    </xf>
    <xf numFmtId="0" fontId="3" fillId="284" borderId="0" xfId="0" applyFont="1" applyFill="1" applyAlignment="1">
      <alignment horizontal="left"/>
    </xf>
    <xf numFmtId="0" fontId="1" fillId="285" borderId="0" xfId="0" applyFont="1" applyFill="1" applyAlignment="1">
      <alignment horizontal="left"/>
    </xf>
    <xf numFmtId="0" fontId="1" fillId="286" borderId="0" xfId="0" applyFont="1" applyFill="1" applyAlignment="1">
      <alignment horizontal="left"/>
    </xf>
    <xf numFmtId="0" fontId="3" fillId="287" borderId="0" xfId="0" applyFont="1" applyFill="1" applyAlignment="1">
      <alignment horizontal="left"/>
    </xf>
    <xf numFmtId="0" fontId="1" fillId="288" borderId="0" xfId="0" applyFont="1" applyFill="1" applyAlignment="1">
      <alignment horizontal="left"/>
    </xf>
    <xf numFmtId="0" fontId="1" fillId="289" borderId="0" xfId="0" applyFont="1" applyFill="1" applyAlignment="1">
      <alignment horizontal="left"/>
    </xf>
    <xf numFmtId="0" fontId="3" fillId="290" borderId="0" xfId="0" applyFont="1" applyFill="1" applyAlignment="1">
      <alignment horizontal="left"/>
    </xf>
    <xf numFmtId="0" fontId="1" fillId="291" borderId="0" xfId="0" applyFont="1" applyFill="1" applyAlignment="1">
      <alignment horizontal="left"/>
    </xf>
    <xf numFmtId="0" fontId="1" fillId="292" borderId="0" xfId="0" applyFont="1" applyFill="1" applyAlignment="1">
      <alignment horizontal="left"/>
    </xf>
    <xf numFmtId="0" fontId="3" fillId="293" borderId="0" xfId="0" applyFont="1" applyFill="1" applyAlignment="1">
      <alignment horizontal="left"/>
    </xf>
    <xf numFmtId="0" fontId="1" fillId="294" borderId="0" xfId="0" applyFont="1" applyFill="1" applyAlignment="1">
      <alignment horizontal="left"/>
    </xf>
    <xf numFmtId="0" fontId="1" fillId="295" borderId="0" xfId="0" applyFont="1" applyFill="1" applyAlignment="1">
      <alignment horizontal="left"/>
    </xf>
    <xf numFmtId="0" fontId="3" fillId="296" borderId="0" xfId="0" applyFont="1" applyFill="1" applyAlignment="1">
      <alignment horizontal="left"/>
    </xf>
    <xf numFmtId="0" fontId="1" fillId="297" borderId="0" xfId="0" applyFont="1" applyFill="1" applyAlignment="1">
      <alignment horizontal="left"/>
    </xf>
    <xf numFmtId="0" fontId="1" fillId="298" borderId="0" xfId="0" applyFont="1" applyFill="1" applyAlignment="1">
      <alignment horizontal="left"/>
    </xf>
    <xf numFmtId="0" fontId="3" fillId="299" borderId="0" xfId="0" applyFont="1" applyFill="1" applyAlignment="1">
      <alignment horizontal="left"/>
    </xf>
    <xf numFmtId="0" fontId="1" fillId="300" borderId="0" xfId="0" applyFont="1" applyFill="1" applyAlignment="1">
      <alignment horizontal="left"/>
    </xf>
    <xf numFmtId="0" fontId="1" fillId="301" borderId="0" xfId="0" applyFont="1" applyFill="1" applyAlignment="1">
      <alignment horizontal="left"/>
    </xf>
    <xf numFmtId="0" fontId="3" fillId="302" borderId="0" xfId="0" applyFont="1" applyFill="1" applyAlignment="1">
      <alignment horizontal="left"/>
    </xf>
    <xf numFmtId="0" fontId="1" fillId="303" borderId="0" xfId="0" applyFont="1" applyFill="1" applyAlignment="1">
      <alignment horizontal="left"/>
    </xf>
    <xf numFmtId="0" fontId="1" fillId="304" borderId="0" xfId="0" applyFont="1" applyFill="1" applyAlignment="1">
      <alignment horizontal="left"/>
    </xf>
    <xf numFmtId="0" fontId="3" fillId="305" borderId="0" xfId="0" applyFont="1" applyFill="1" applyAlignment="1">
      <alignment horizontal="left"/>
    </xf>
    <xf numFmtId="0" fontId="1" fillId="306" borderId="0" xfId="0" applyFont="1" applyFill="1" applyAlignment="1">
      <alignment horizontal="left"/>
    </xf>
    <xf numFmtId="0" fontId="1" fillId="70" borderId="0" xfId="0" applyFont="1" applyFill="1" applyAlignment="1">
      <alignment horizontal="left"/>
    </xf>
    <xf numFmtId="0" fontId="3" fillId="307" borderId="0" xfId="0" applyFont="1" applyFill="1" applyAlignment="1">
      <alignment horizontal="left"/>
    </xf>
    <xf numFmtId="0" fontId="1" fillId="308" borderId="0" xfId="0" applyFont="1" applyFill="1" applyAlignment="1">
      <alignment horizontal="left"/>
    </xf>
    <xf numFmtId="0" fontId="1" fillId="309" borderId="0" xfId="0" applyFont="1" applyFill="1" applyAlignment="1">
      <alignment horizontal="left"/>
    </xf>
    <xf numFmtId="0" fontId="3" fillId="310" borderId="0" xfId="0" applyFont="1" applyFill="1" applyAlignment="1">
      <alignment horizontal="left"/>
    </xf>
    <xf numFmtId="0" fontId="1" fillId="311" borderId="0" xfId="0" applyFont="1" applyFill="1" applyAlignment="1">
      <alignment horizontal="left"/>
    </xf>
    <xf numFmtId="0" fontId="1" fillId="312" borderId="0" xfId="0" applyFont="1" applyFill="1" applyAlignment="1">
      <alignment horizontal="left"/>
    </xf>
    <xf numFmtId="0" fontId="3" fillId="313" borderId="0" xfId="0" applyFont="1" applyFill="1" applyAlignment="1">
      <alignment horizontal="left"/>
    </xf>
    <xf numFmtId="0" fontId="1" fillId="314" borderId="0" xfId="0" applyFont="1" applyFill="1" applyAlignment="1">
      <alignment horizontal="left"/>
    </xf>
    <xf numFmtId="0" fontId="1" fillId="315" borderId="0" xfId="0" applyFont="1" applyFill="1" applyAlignment="1">
      <alignment horizontal="left"/>
    </xf>
    <xf numFmtId="0" fontId="3" fillId="316" borderId="0" xfId="0" applyFont="1" applyFill="1" applyAlignment="1">
      <alignment horizontal="left"/>
    </xf>
    <xf numFmtId="0" fontId="1" fillId="317" borderId="0" xfId="0" applyFont="1" applyFill="1" applyAlignment="1">
      <alignment horizontal="left"/>
    </xf>
    <xf numFmtId="0" fontId="3" fillId="318" borderId="0" xfId="0" applyFont="1" applyFill="1" applyAlignment="1">
      <alignment horizontal="left"/>
    </xf>
    <xf numFmtId="0" fontId="3" fillId="319" borderId="0" xfId="0" applyFont="1" applyFill="1" applyAlignment="1">
      <alignment horizontal="left"/>
    </xf>
    <xf numFmtId="0" fontId="1" fillId="320" borderId="0" xfId="0" applyFont="1" applyFill="1" applyAlignment="1">
      <alignment horizontal="left"/>
    </xf>
    <xf numFmtId="0" fontId="1" fillId="321" borderId="0" xfId="0" applyFont="1" applyFill="1" applyAlignment="1">
      <alignment horizontal="left"/>
    </xf>
    <xf numFmtId="0" fontId="3" fillId="322" borderId="0" xfId="0" applyFont="1" applyFill="1" applyAlignment="1">
      <alignment horizontal="left"/>
    </xf>
    <xf numFmtId="0" fontId="1" fillId="323" borderId="0" xfId="0" applyFont="1" applyFill="1" applyAlignment="1">
      <alignment horizontal="left"/>
    </xf>
    <xf numFmtId="0" fontId="1" fillId="324" borderId="0" xfId="0" applyFont="1" applyFill="1" applyAlignment="1">
      <alignment horizontal="left"/>
    </xf>
    <xf numFmtId="0" fontId="3" fillId="325" borderId="0" xfId="0" applyFont="1" applyFill="1" applyAlignment="1">
      <alignment horizontal="left"/>
    </xf>
    <xf numFmtId="0" fontId="1" fillId="326" borderId="0" xfId="0" applyFont="1" applyFill="1" applyAlignment="1">
      <alignment horizontal="left"/>
    </xf>
    <xf numFmtId="0" fontId="1" fillId="8" borderId="0" xfId="0" applyFont="1" applyFill="1" applyAlignment="1">
      <alignment horizontal="left"/>
    </xf>
    <xf numFmtId="0" fontId="3" fillId="327" borderId="0" xfId="0" applyFont="1" applyFill="1" applyAlignment="1">
      <alignment horizontal="left"/>
    </xf>
    <xf numFmtId="0" fontId="1" fillId="328" borderId="0" xfId="0" applyFont="1" applyFill="1" applyAlignment="1">
      <alignment horizontal="left"/>
    </xf>
    <xf numFmtId="0" fontId="1" fillId="329" borderId="0" xfId="0" applyFont="1" applyFill="1" applyAlignment="1">
      <alignment horizontal="left"/>
    </xf>
    <xf numFmtId="0" fontId="3" fillId="330" borderId="0" xfId="0" applyFont="1" applyFill="1" applyAlignment="1">
      <alignment horizontal="left"/>
    </xf>
    <xf numFmtId="0" fontId="1" fillId="331" borderId="0" xfId="0" applyFont="1" applyFill="1" applyAlignment="1">
      <alignment horizontal="left"/>
    </xf>
    <xf numFmtId="0" fontId="1" fillId="332" borderId="0" xfId="0" applyFont="1" applyFill="1" applyAlignment="1">
      <alignment horizontal="left"/>
    </xf>
    <xf numFmtId="0" fontId="3" fillId="333" borderId="0" xfId="0" applyFont="1" applyFill="1" applyAlignment="1">
      <alignment horizontal="left"/>
    </xf>
    <xf numFmtId="0" fontId="1" fillId="334" borderId="0" xfId="0" applyFont="1" applyFill="1" applyAlignment="1">
      <alignment horizontal="left"/>
    </xf>
    <xf numFmtId="0" fontId="1" fillId="335" borderId="0" xfId="0" applyFont="1" applyFill="1" applyAlignment="1">
      <alignment horizontal="left"/>
    </xf>
    <xf numFmtId="0" fontId="3" fillId="336" borderId="0" xfId="0" applyFont="1" applyFill="1" applyAlignment="1">
      <alignment horizontal="left"/>
    </xf>
    <xf numFmtId="0" fontId="1" fillId="337" borderId="0" xfId="0" applyFont="1" applyFill="1" applyAlignment="1">
      <alignment horizontal="left"/>
    </xf>
    <xf numFmtId="0" fontId="1" fillId="338" borderId="0" xfId="0" applyFont="1" applyFill="1" applyAlignment="1">
      <alignment horizontal="left"/>
    </xf>
    <xf numFmtId="0" fontId="3" fillId="339" borderId="0" xfId="0" applyFont="1" applyFill="1" applyAlignment="1">
      <alignment horizontal="left"/>
    </xf>
    <xf numFmtId="0" fontId="1" fillId="340" borderId="0" xfId="0" applyFont="1" applyFill="1" applyAlignment="1">
      <alignment horizontal="left"/>
    </xf>
    <xf numFmtId="0" fontId="3" fillId="341" borderId="0" xfId="0" applyFont="1" applyFill="1" applyAlignment="1">
      <alignment horizontal="left"/>
    </xf>
    <xf numFmtId="0" fontId="1" fillId="342" borderId="0" xfId="0" applyFont="1" applyFill="1" applyAlignment="1">
      <alignment horizontal="left"/>
    </xf>
    <xf numFmtId="0" fontId="1" fillId="343" borderId="0" xfId="0" applyFont="1" applyFill="1" applyAlignment="1">
      <alignment horizontal="left"/>
    </xf>
    <xf numFmtId="0" fontId="3" fillId="344" borderId="0" xfId="0" applyFont="1" applyFill="1" applyAlignment="1">
      <alignment horizontal="left"/>
    </xf>
    <xf numFmtId="0" fontId="1" fillId="345" borderId="0" xfId="0" applyFont="1" applyFill="1" applyAlignment="1">
      <alignment horizontal="left"/>
    </xf>
    <xf numFmtId="0" fontId="1" fillId="346" borderId="0" xfId="0" applyFont="1" applyFill="1" applyAlignment="1">
      <alignment horizontal="left"/>
    </xf>
    <xf numFmtId="0" fontId="3" fillId="347" borderId="0" xfId="0" applyFont="1" applyFill="1" applyAlignment="1">
      <alignment horizontal="left"/>
    </xf>
    <xf numFmtId="0" fontId="1" fillId="348" borderId="0" xfId="0" applyFont="1" applyFill="1" applyAlignment="1">
      <alignment horizontal="left"/>
    </xf>
    <xf numFmtId="0" fontId="1" fillId="349" borderId="0" xfId="0" applyFont="1" applyFill="1" applyAlignment="1">
      <alignment horizontal="left"/>
    </xf>
    <xf numFmtId="0" fontId="3" fillId="350" borderId="0" xfId="0" applyFont="1" applyFill="1" applyAlignment="1">
      <alignment horizontal="left"/>
    </xf>
    <xf numFmtId="0" fontId="1" fillId="351" borderId="0" xfId="0" applyFont="1" applyFill="1" applyAlignment="1">
      <alignment horizontal="left"/>
    </xf>
    <xf numFmtId="0" fontId="3" fillId="83" borderId="0" xfId="0" applyFont="1" applyFill="1" applyAlignment="1">
      <alignment horizontal="left"/>
    </xf>
    <xf numFmtId="0" fontId="1" fillId="352" borderId="0" xfId="0" applyFont="1" applyFill="1" applyAlignment="1">
      <alignment horizontal="left"/>
    </xf>
    <xf numFmtId="0" fontId="1" fillId="84" borderId="0" xfId="0" applyFont="1" applyFill="1" applyAlignment="1">
      <alignment horizontal="left"/>
    </xf>
    <xf numFmtId="0" fontId="3" fillId="353" borderId="0" xfId="0" applyFont="1" applyFill="1" applyAlignment="1">
      <alignment horizontal="left"/>
    </xf>
    <xf numFmtId="0" fontId="3" fillId="354" borderId="0" xfId="0" applyFont="1" applyFill="1" applyAlignment="1">
      <alignment horizontal="left"/>
    </xf>
    <xf numFmtId="0" fontId="1" fillId="355" borderId="0" xfId="0" applyFont="1" applyFill="1" applyAlignment="1">
      <alignment horizontal="left"/>
    </xf>
    <xf numFmtId="0" fontId="1" fillId="356" borderId="0" xfId="0" applyFont="1" applyFill="1" applyAlignment="1">
      <alignment horizontal="left"/>
    </xf>
    <xf numFmtId="0" fontId="3" fillId="357" borderId="0" xfId="0" applyFont="1" applyFill="1" applyAlignment="1">
      <alignment horizontal="left"/>
    </xf>
    <xf numFmtId="0" fontId="3" fillId="358" borderId="0" xfId="0" applyFont="1" applyFill="1" applyAlignment="1">
      <alignment horizontal="left"/>
    </xf>
    <xf numFmtId="0" fontId="1" fillId="359" borderId="0" xfId="0" applyFont="1" applyFill="1" applyAlignment="1">
      <alignment horizontal="left"/>
    </xf>
    <xf numFmtId="0" fontId="1" fillId="360" borderId="0" xfId="0" applyFont="1" applyFill="1" applyAlignment="1">
      <alignment horizontal="left"/>
    </xf>
    <xf numFmtId="0" fontId="3" fillId="361" borderId="0" xfId="0" applyFont="1" applyFill="1" applyAlignment="1">
      <alignment horizontal="left"/>
    </xf>
    <xf numFmtId="0" fontId="1" fillId="362" borderId="0" xfId="0" applyFont="1" applyFill="1" applyAlignment="1">
      <alignment horizontal="left"/>
    </xf>
    <xf numFmtId="0" fontId="1" fillId="89" borderId="0" xfId="0" applyFont="1" applyFill="1" applyAlignment="1">
      <alignment horizontal="left"/>
    </xf>
    <xf numFmtId="0" fontId="3" fillId="363" borderId="0" xfId="0" applyFont="1" applyFill="1" applyAlignment="1">
      <alignment horizontal="left"/>
    </xf>
    <xf numFmtId="0" fontId="1" fillId="364" borderId="0" xfId="0" applyFont="1" applyFill="1" applyAlignment="1">
      <alignment horizontal="left"/>
    </xf>
    <xf numFmtId="0" fontId="1" fillId="90" borderId="0" xfId="0" applyFont="1" applyFill="1" applyAlignment="1">
      <alignment horizontal="left"/>
    </xf>
    <xf numFmtId="0" fontId="3" fillId="365" borderId="0" xfId="0" applyFont="1" applyFill="1" applyAlignment="1">
      <alignment horizontal="left"/>
    </xf>
    <xf numFmtId="0" fontId="1" fillId="366" borderId="0" xfId="0" applyFont="1" applyFill="1" applyAlignment="1">
      <alignment horizontal="left"/>
    </xf>
    <xf numFmtId="0" fontId="1" fillId="367" borderId="0" xfId="0" applyFont="1" applyFill="1" applyAlignment="1">
      <alignment horizontal="left"/>
    </xf>
    <xf numFmtId="0" fontId="3" fillId="368" borderId="0" xfId="0" applyFont="1" applyFill="1" applyAlignment="1">
      <alignment horizontal="left"/>
    </xf>
    <xf numFmtId="0" fontId="1" fillId="369" borderId="0" xfId="0" applyFont="1" applyFill="1" applyAlignment="1">
      <alignment horizontal="left"/>
    </xf>
    <xf numFmtId="0" fontId="1" fillId="370" borderId="0" xfId="0" applyFont="1" applyFill="1" applyAlignment="1">
      <alignment horizontal="left"/>
    </xf>
    <xf numFmtId="0" fontId="3" fillId="371" borderId="0" xfId="0" applyFont="1" applyFill="1" applyAlignment="1">
      <alignment horizontal="left"/>
    </xf>
    <xf numFmtId="0" fontId="1" fillId="372" borderId="0" xfId="0" applyFont="1" applyFill="1" applyAlignment="1">
      <alignment horizontal="left"/>
    </xf>
    <xf numFmtId="0" fontId="1" fillId="373" borderId="0" xfId="0" applyFont="1" applyFill="1" applyAlignment="1">
      <alignment horizontal="left"/>
    </xf>
    <xf numFmtId="0" fontId="3" fillId="374" borderId="0" xfId="0" applyFont="1" applyFill="1" applyAlignment="1">
      <alignment horizontal="left"/>
    </xf>
    <xf numFmtId="0" fontId="1" fillId="375" borderId="0" xfId="0" applyFont="1" applyFill="1" applyAlignment="1">
      <alignment horizontal="left"/>
    </xf>
    <xf numFmtId="0" fontId="3" fillId="376" borderId="0" xfId="0" applyFont="1" applyFill="1" applyAlignment="1">
      <alignment horizontal="left"/>
    </xf>
    <xf numFmtId="0" fontId="3" fillId="377" borderId="0" xfId="0" applyFont="1" applyFill="1" applyAlignment="1">
      <alignment horizontal="left"/>
    </xf>
    <xf numFmtId="0" fontId="1" fillId="378" borderId="0" xfId="0" applyFont="1" applyFill="1" applyAlignment="1">
      <alignment horizontal="left"/>
    </xf>
    <xf numFmtId="0" fontId="1" fillId="379" borderId="0" xfId="0" applyFont="1" applyFill="1" applyAlignment="1">
      <alignment horizontal="left"/>
    </xf>
    <xf numFmtId="0" fontId="3" fillId="97" borderId="0" xfId="0" applyFont="1" applyFill="1" applyAlignment="1">
      <alignment horizontal="left"/>
    </xf>
    <xf numFmtId="0" fontId="3" fillId="98" borderId="0" xfId="0" applyFont="1" applyFill="1" applyAlignment="1">
      <alignment horizontal="left"/>
    </xf>
    <xf numFmtId="0" fontId="1" fillId="380" borderId="0" xfId="0" applyFont="1" applyFill="1" applyAlignment="1">
      <alignment horizontal="left"/>
    </xf>
    <xf numFmtId="0" fontId="1" fillId="99" borderId="0" xfId="0" applyFont="1" applyFill="1" applyAlignment="1">
      <alignment horizontal="left"/>
    </xf>
    <xf numFmtId="0" fontId="3" fillId="381" borderId="0" xfId="0" applyFont="1" applyFill="1" applyAlignment="1">
      <alignment horizontal="left"/>
    </xf>
    <xf numFmtId="0" fontId="3" fillId="382" borderId="0" xfId="0" applyFont="1" applyFill="1" applyAlignment="1">
      <alignment horizontal="left"/>
    </xf>
    <xf numFmtId="0" fontId="1" fillId="383" borderId="0" xfId="0" applyFont="1" applyFill="1" applyAlignment="1">
      <alignment horizontal="left"/>
    </xf>
    <xf numFmtId="0" fontId="1" fillId="384" borderId="0" xfId="0" applyFont="1" applyFill="1" applyAlignment="1">
      <alignment horizontal="left"/>
    </xf>
    <xf numFmtId="0" fontId="1" fillId="385" borderId="0" xfId="0" applyFont="1" applyFill="1" applyAlignment="1">
      <alignment horizontal="left"/>
    </xf>
    <xf numFmtId="0" fontId="1" fillId="102" borderId="0" xfId="0" applyFont="1" applyFill="1" applyAlignment="1">
      <alignment horizontal="left"/>
    </xf>
    <xf numFmtId="0" fontId="3" fillId="386" borderId="0" xfId="0" applyFont="1" applyFill="1" applyAlignment="1">
      <alignment horizontal="left"/>
    </xf>
    <xf numFmtId="0" fontId="1" fillId="387" borderId="0" xfId="0" applyFont="1" applyFill="1" applyAlignment="1">
      <alignment horizontal="left"/>
    </xf>
    <xf numFmtId="0" fontId="1" fillId="388" borderId="0" xfId="0" applyFont="1" applyFill="1" applyAlignment="1">
      <alignment horizontal="left"/>
    </xf>
    <xf numFmtId="0" fontId="3" fillId="389" borderId="0" xfId="0" applyFont="1" applyFill="1" applyAlignment="1">
      <alignment horizontal="left"/>
    </xf>
    <xf numFmtId="0" fontId="1" fillId="390" borderId="0" xfId="0" applyFont="1" applyFill="1" applyAlignment="1">
      <alignment horizontal="left"/>
    </xf>
    <xf numFmtId="0" fontId="1" fillId="104" borderId="0" xfId="0" applyFont="1" applyFill="1" applyAlignment="1">
      <alignment horizontal="left"/>
    </xf>
    <xf numFmtId="0" fontId="3" fillId="391" borderId="0" xfId="0" applyFont="1" applyFill="1" applyAlignment="1">
      <alignment horizontal="left"/>
    </xf>
    <xf numFmtId="0" fontId="1" fillId="392" borderId="0" xfId="0" applyFont="1" applyFill="1" applyAlignment="1">
      <alignment horizontal="left"/>
    </xf>
    <xf numFmtId="0" fontId="1" fillId="393" borderId="0" xfId="0" applyFont="1" applyFill="1" applyAlignment="1">
      <alignment horizontal="left"/>
    </xf>
    <xf numFmtId="0" fontId="3" fillId="394" borderId="0" xfId="0" applyFont="1" applyFill="1" applyAlignment="1">
      <alignment horizontal="left"/>
    </xf>
    <xf numFmtId="0" fontId="1" fillId="395" borderId="0" xfId="0" applyFont="1" applyFill="1" applyAlignment="1">
      <alignment horizontal="left"/>
    </xf>
    <xf numFmtId="0" fontId="1" fillId="396" borderId="0" xfId="0" applyFont="1" applyFill="1" applyAlignment="1">
      <alignment horizontal="left"/>
    </xf>
    <xf numFmtId="0" fontId="3" fillId="397" borderId="0" xfId="0" applyFont="1" applyFill="1" applyAlignment="1">
      <alignment horizontal="left"/>
    </xf>
    <xf numFmtId="0" fontId="1" fillId="398" borderId="0" xfId="0" applyFont="1" applyFill="1" applyAlignment="1">
      <alignment horizontal="left"/>
    </xf>
    <xf numFmtId="0" fontId="3" fillId="399" borderId="0" xfId="0" applyFont="1" applyFill="1" applyAlignment="1">
      <alignment horizontal="left"/>
    </xf>
    <xf numFmtId="0" fontId="3" fillId="400" borderId="0" xfId="0" applyFont="1" applyFill="1" applyAlignment="1">
      <alignment horizontal="left"/>
    </xf>
    <xf numFmtId="0" fontId="1" fillId="401" borderId="0" xfId="0" applyFont="1" applyFill="1" applyAlignment="1">
      <alignment horizontal="left"/>
    </xf>
    <xf numFmtId="0" fontId="1" fillId="402" borderId="0" xfId="0" applyFont="1" applyFill="1" applyAlignment="1">
      <alignment horizontal="left"/>
    </xf>
    <xf numFmtId="0" fontId="3" fillId="403" borderId="0" xfId="0" applyFont="1" applyFill="1" applyAlignment="1">
      <alignment horizontal="left"/>
    </xf>
    <xf numFmtId="0" fontId="1" fillId="404" borderId="0" xfId="0" applyFont="1" applyFill="1" applyAlignment="1">
      <alignment horizontal="left"/>
    </xf>
    <xf numFmtId="0" fontId="1" fillId="405" borderId="0" xfId="0" applyFont="1" applyFill="1" applyAlignment="1">
      <alignment horizontal="left"/>
    </xf>
    <xf numFmtId="0" fontId="3" fillId="406" borderId="0" xfId="0" applyFont="1" applyFill="1" applyAlignment="1">
      <alignment horizontal="left"/>
    </xf>
    <xf numFmtId="0" fontId="1" fillId="407" borderId="0" xfId="0" applyFont="1" applyFill="1" applyAlignment="1">
      <alignment horizontal="left"/>
    </xf>
    <xf numFmtId="0" fontId="1" fillId="408" borderId="0" xfId="0" applyFont="1" applyFill="1" applyAlignment="1">
      <alignment horizontal="left"/>
    </xf>
    <xf numFmtId="0" fontId="3" fillId="409" borderId="0" xfId="0" applyFont="1" applyFill="1" applyAlignment="1">
      <alignment horizontal="left"/>
    </xf>
    <xf numFmtId="0" fontId="1" fillId="410" borderId="0" xfId="0" applyFont="1" applyFill="1" applyAlignment="1">
      <alignment horizontal="left"/>
    </xf>
    <xf numFmtId="0" fontId="1" fillId="411" borderId="0" xfId="0" applyFont="1" applyFill="1" applyAlignment="1">
      <alignment horizontal="left"/>
    </xf>
    <xf numFmtId="0" fontId="3" fillId="412" borderId="0" xfId="0" applyFont="1" applyFill="1" applyAlignment="1">
      <alignment horizontal="left"/>
    </xf>
    <xf numFmtId="0" fontId="1" fillId="413" borderId="0" xfId="0" applyFont="1" applyFill="1" applyAlignment="1">
      <alignment horizontal="left"/>
    </xf>
    <xf numFmtId="0" fontId="3" fillId="414" borderId="0" xfId="0" applyFont="1" applyFill="1" applyAlignment="1">
      <alignment horizontal="left"/>
    </xf>
    <xf numFmtId="0" fontId="3" fillId="415" borderId="0" xfId="0" applyFont="1" applyFill="1" applyAlignment="1">
      <alignment horizontal="left"/>
    </xf>
    <xf numFmtId="0" fontId="1" fillId="416" borderId="0" xfId="0" applyFont="1" applyFill="1" applyAlignment="1">
      <alignment horizontal="left"/>
    </xf>
    <xf numFmtId="0" fontId="3" fillId="114" borderId="0" xfId="0" applyFont="1" applyFill="1" applyAlignment="1">
      <alignment horizontal="left"/>
    </xf>
    <xf numFmtId="0" fontId="1" fillId="417" borderId="0" xfId="0" applyFont="1" applyFill="1" applyAlignment="1">
      <alignment horizontal="left"/>
    </xf>
    <xf numFmtId="0" fontId="3" fillId="115" borderId="0" xfId="0" applyFont="1" applyFill="1" applyAlignment="1">
      <alignment horizontal="left"/>
    </xf>
    <xf numFmtId="0" fontId="1" fillId="116" borderId="0" xfId="0" applyFont="1" applyFill="1" applyAlignment="1">
      <alignment horizontal="left"/>
    </xf>
    <xf numFmtId="0" fontId="1" fillId="117" borderId="0" xfId="0" applyFont="1" applyFill="1" applyAlignment="1">
      <alignment horizontal="left"/>
    </xf>
    <xf numFmtId="0" fontId="3" fillId="418" borderId="0" xfId="0" applyFont="1" applyFill="1" applyAlignment="1">
      <alignment horizontal="left"/>
    </xf>
    <xf numFmtId="0" fontId="1" fillId="419" borderId="0" xfId="0" applyFont="1" applyFill="1" applyAlignment="1">
      <alignment horizontal="left"/>
    </xf>
    <xf numFmtId="0" fontId="1" fillId="420" borderId="0" xfId="0" applyFont="1" applyFill="1" applyAlignment="1">
      <alignment horizontal="left"/>
    </xf>
    <xf numFmtId="0" fontId="3" fillId="421" borderId="0" xfId="0" applyFont="1" applyFill="1" applyAlignment="1">
      <alignment horizontal="left"/>
    </xf>
    <xf numFmtId="0" fontId="1" fillId="422" borderId="0" xfId="0" applyFont="1" applyFill="1" applyAlignment="1">
      <alignment horizontal="left"/>
    </xf>
    <xf numFmtId="0" fontId="1" fillId="423" borderId="0" xfId="0" applyFont="1" applyFill="1" applyAlignment="1">
      <alignment horizontal="left"/>
    </xf>
    <xf numFmtId="0" fontId="3" fillId="424" borderId="0" xfId="0" applyFont="1" applyFill="1" applyAlignment="1">
      <alignment horizontal="left"/>
    </xf>
    <xf numFmtId="0" fontId="1" fillId="425" borderId="0" xfId="0" applyFont="1" applyFill="1" applyAlignment="1">
      <alignment horizontal="left"/>
    </xf>
    <xf numFmtId="0" fontId="1" fillId="426" borderId="0" xfId="0" applyFont="1" applyFill="1" applyAlignment="1">
      <alignment horizontal="left"/>
    </xf>
    <xf numFmtId="0" fontId="3" fillId="427" borderId="0" xfId="0" applyFont="1" applyFill="1" applyAlignment="1">
      <alignment horizontal="left"/>
    </xf>
    <xf numFmtId="0" fontId="1" fillId="428" borderId="0" xfId="0" applyFont="1" applyFill="1" applyAlignment="1">
      <alignment horizontal="left"/>
    </xf>
    <xf numFmtId="0" fontId="1" fillId="120" borderId="0" xfId="0" applyFont="1" applyFill="1" applyAlignment="1">
      <alignment horizontal="left"/>
    </xf>
    <xf numFmtId="0" fontId="3" fillId="429" borderId="0" xfId="0" applyFont="1" applyFill="1" applyAlignment="1">
      <alignment horizontal="left"/>
    </xf>
    <xf numFmtId="0" fontId="1" fillId="430" borderId="0" xfId="0" applyFont="1" applyFill="1" applyAlignment="1">
      <alignment horizontal="left"/>
    </xf>
    <xf numFmtId="0" fontId="1" fillId="431" borderId="0" xfId="0" applyFont="1" applyFill="1" applyAlignment="1">
      <alignment horizontal="left"/>
    </xf>
    <xf numFmtId="0" fontId="3" fillId="432" borderId="0" xfId="0" applyFont="1" applyFill="1" applyAlignment="1">
      <alignment horizontal="left"/>
    </xf>
    <xf numFmtId="0" fontId="1" fillId="433" borderId="0" xfId="0" applyFont="1" applyFill="1" applyAlignment="1">
      <alignment horizontal="left"/>
    </xf>
    <xf numFmtId="0" fontId="1" fillId="434" borderId="0" xfId="0" applyFont="1" applyFill="1" applyAlignment="1">
      <alignment horizontal="left"/>
    </xf>
    <xf numFmtId="0" fontId="3" fillId="435" borderId="0" xfId="0" applyFont="1" applyFill="1" applyAlignment="1">
      <alignment horizontal="left"/>
    </xf>
    <xf numFmtId="0" fontId="1" fillId="436" borderId="0" xfId="0" applyFont="1" applyFill="1" applyAlignment="1">
      <alignment horizontal="left"/>
    </xf>
    <xf numFmtId="0" fontId="3" fillId="437" borderId="0" xfId="0" applyFont="1" applyFill="1" applyAlignment="1">
      <alignment horizontal="left"/>
    </xf>
    <xf numFmtId="0" fontId="3" fillId="438" borderId="0" xfId="0" applyFont="1" applyFill="1" applyAlignment="1">
      <alignment horizontal="left"/>
    </xf>
    <xf numFmtId="0" fontId="1" fillId="439" borderId="0" xfId="0" applyFont="1" applyFill="1" applyAlignment="1">
      <alignment horizontal="left"/>
    </xf>
    <xf numFmtId="0" fontId="3" fillId="440" borderId="0" xfId="0" applyFont="1" applyFill="1" applyAlignment="1">
      <alignment horizontal="left"/>
    </xf>
    <xf numFmtId="0" fontId="1" fillId="441" borderId="0" xfId="0" applyFont="1" applyFill="1" applyAlignment="1">
      <alignment horizontal="left"/>
    </xf>
    <xf numFmtId="0" fontId="3" fillId="442" borderId="0" xfId="0" applyFont="1" applyFill="1" applyAlignment="1">
      <alignment horizontal="left"/>
    </xf>
    <xf numFmtId="0" fontId="3" fillId="443" borderId="0" xfId="0" applyFont="1" applyFill="1" applyAlignment="1">
      <alignment horizontal="left"/>
    </xf>
    <xf numFmtId="0" fontId="1" fillId="444" borderId="0" xfId="0" applyFont="1" applyFill="1" applyAlignment="1">
      <alignment horizontal="left"/>
    </xf>
    <xf numFmtId="0" fontId="3" fillId="445" borderId="0" xfId="0" applyFont="1" applyFill="1" applyAlignment="1">
      <alignment horizontal="left"/>
    </xf>
    <xf numFmtId="0" fontId="3" fillId="446" borderId="0" xfId="0" applyFont="1" applyFill="1" applyAlignment="1">
      <alignment horizontal="left"/>
    </xf>
    <xf numFmtId="0" fontId="1" fillId="447" borderId="0" xfId="0" applyFont="1" applyFill="1" applyAlignment="1">
      <alignment horizontal="left"/>
    </xf>
    <xf numFmtId="0" fontId="3" fillId="448" borderId="0" xfId="0" applyFont="1" applyFill="1" applyAlignment="1">
      <alignment horizontal="left"/>
    </xf>
    <xf numFmtId="0" fontId="1" fillId="449" borderId="0" xfId="0" applyFont="1" applyFill="1" applyAlignment="1">
      <alignment horizontal="left"/>
    </xf>
    <xf numFmtId="0" fontId="3" fillId="450" borderId="0" xfId="0" applyFont="1" applyFill="1" applyAlignment="1">
      <alignment horizontal="left"/>
    </xf>
    <xf numFmtId="0" fontId="1" fillId="451" borderId="0" xfId="0" applyFont="1" applyFill="1" applyAlignment="1">
      <alignment horizontal="left"/>
    </xf>
    <xf numFmtId="0" fontId="1" fillId="452" borderId="0" xfId="0" applyFont="1" applyFill="1" applyAlignment="1">
      <alignment horizontal="left"/>
    </xf>
    <xf numFmtId="0" fontId="3" fillId="453" borderId="0" xfId="0" applyFont="1" applyFill="1" applyAlignment="1">
      <alignment horizontal="left"/>
    </xf>
    <xf numFmtId="0" fontId="1" fillId="454" borderId="0" xfId="0" applyFont="1" applyFill="1" applyAlignment="1">
      <alignment horizontal="left"/>
    </xf>
    <xf numFmtId="0" fontId="3" fillId="455" borderId="0" xfId="0" applyFont="1" applyFill="1" applyAlignment="1">
      <alignment horizontal="left"/>
    </xf>
    <xf numFmtId="0" fontId="3" fillId="456" borderId="0" xfId="0" applyFont="1" applyFill="1" applyAlignment="1">
      <alignment horizontal="left"/>
    </xf>
    <xf numFmtId="0" fontId="1" fillId="457" borderId="0" xfId="0" applyFont="1" applyFill="1" applyAlignment="1">
      <alignment horizontal="left"/>
    </xf>
    <xf numFmtId="0" fontId="1" fillId="458" borderId="0" xfId="0" applyFont="1" applyFill="1" applyAlignment="1">
      <alignment horizontal="left"/>
    </xf>
    <xf numFmtId="0" fontId="3" fillId="459" borderId="0" xfId="0" applyFont="1" applyFill="1" applyAlignment="1">
      <alignment horizontal="left"/>
    </xf>
    <xf numFmtId="0" fontId="1" fillId="460" borderId="0" xfId="0" applyFont="1" applyFill="1" applyAlignment="1">
      <alignment horizontal="left"/>
    </xf>
    <xf numFmtId="0" fontId="1" fillId="461" borderId="0" xfId="0" applyFont="1" applyFill="1" applyAlignment="1">
      <alignment horizontal="left"/>
    </xf>
    <xf numFmtId="0" fontId="3" fillId="462" borderId="0" xfId="0" applyFont="1" applyFill="1" applyAlignment="1">
      <alignment horizontal="left"/>
    </xf>
    <xf numFmtId="0" fontId="1" fillId="463" borderId="0" xfId="0" applyFont="1" applyFill="1" applyAlignment="1">
      <alignment horizontal="left"/>
    </xf>
    <xf numFmtId="0" fontId="3" fillId="464" borderId="0" xfId="0" applyFont="1" applyFill="1" applyAlignment="1">
      <alignment horizontal="left"/>
    </xf>
    <xf numFmtId="0" fontId="3" fillId="465" borderId="0" xfId="0" applyFont="1" applyFill="1" applyAlignment="1">
      <alignment horizontal="left"/>
    </xf>
    <xf numFmtId="0" fontId="1" fillId="466" borderId="0" xfId="0" applyFont="1" applyFill="1" applyAlignment="1">
      <alignment horizontal="left"/>
    </xf>
    <xf numFmtId="0" fontId="3" fillId="132" borderId="0" xfId="0" applyFont="1" applyFill="1" applyAlignment="1">
      <alignment horizontal="left"/>
    </xf>
    <xf numFmtId="0" fontId="1" fillId="467" borderId="0" xfId="0" applyFont="1" applyFill="1" applyAlignment="1">
      <alignment horizontal="left"/>
    </xf>
    <xf numFmtId="0" fontId="3" fillId="133" borderId="0" xfId="0" applyFont="1" applyFill="1" applyAlignment="1">
      <alignment horizontal="left"/>
    </xf>
    <xf numFmtId="0" fontId="3" fillId="134" borderId="0" xfId="0" applyFont="1" applyFill="1" applyAlignment="1">
      <alignment horizontal="left"/>
    </xf>
    <xf numFmtId="0" fontId="3" fillId="135" borderId="0" xfId="0" applyFont="1" applyFill="1" applyAlignment="1">
      <alignment horizontal="left"/>
    </xf>
    <xf numFmtId="0" fontId="3" fillId="468" borderId="0" xfId="0" applyFont="1" applyFill="1" applyAlignment="1">
      <alignment horizontal="left"/>
    </xf>
    <xf numFmtId="0" fontId="3" fillId="469" borderId="0" xfId="0" applyFont="1" applyFill="1" applyAlignment="1">
      <alignment horizontal="left"/>
    </xf>
    <xf numFmtId="0" fontId="1" fillId="470" borderId="0" xfId="0" applyFont="1" applyFill="1" applyAlignment="1">
      <alignment horizontal="left"/>
    </xf>
    <xf numFmtId="0" fontId="3" fillId="471" borderId="0" xfId="0" applyFont="1" applyFill="1" applyAlignment="1">
      <alignment horizontal="left"/>
    </xf>
    <xf numFmtId="0" fontId="1" fillId="472" borderId="0" xfId="0" applyFont="1" applyFill="1" applyAlignment="1">
      <alignment horizontal="left"/>
    </xf>
    <xf numFmtId="0" fontId="3" fillId="473" borderId="0" xfId="0" applyFont="1" applyFill="1" applyAlignment="1">
      <alignment horizontal="left"/>
    </xf>
    <xf numFmtId="0" fontId="1" fillId="474" borderId="0" xfId="0" applyFont="1" applyFill="1" applyAlignment="1">
      <alignment horizontal="left"/>
    </xf>
    <xf numFmtId="0" fontId="3" fillId="475" borderId="0" xfId="0" applyFont="1" applyFill="1" applyAlignment="1">
      <alignment horizontal="left"/>
    </xf>
    <xf numFmtId="0" fontId="1" fillId="476" borderId="0" xfId="0" applyFont="1" applyFill="1" applyAlignment="1">
      <alignment horizontal="left"/>
    </xf>
    <xf numFmtId="0" fontId="3" fillId="477" borderId="0" xfId="0" applyFont="1" applyFill="1" applyAlignment="1">
      <alignment horizontal="left"/>
    </xf>
    <xf numFmtId="0" fontId="3" fillId="478" borderId="0" xfId="0" applyFont="1" applyFill="1" applyAlignment="1">
      <alignment horizontal="left"/>
    </xf>
    <xf numFmtId="0" fontId="1" fillId="479" borderId="0" xfId="0" applyFont="1" applyFill="1" applyAlignment="1">
      <alignment horizontal="left"/>
    </xf>
    <xf numFmtId="0" fontId="3" fillId="141" borderId="0" xfId="0" applyFont="1" applyFill="1" applyAlignment="1">
      <alignment horizontal="left"/>
    </xf>
    <xf numFmtId="0" fontId="3" fillId="480" borderId="0" xfId="0" applyFont="1" applyFill="1" applyAlignment="1">
      <alignment horizontal="left"/>
    </xf>
    <xf numFmtId="0" fontId="1" fillId="481" borderId="0" xfId="0" applyFont="1" applyFill="1" applyAlignment="1">
      <alignment horizontal="left"/>
    </xf>
    <xf numFmtId="0" fontId="3" fillId="482" borderId="0" xfId="0" applyFont="1" applyFill="1" applyAlignment="1">
      <alignment horizontal="left"/>
    </xf>
    <xf numFmtId="0" fontId="3" fillId="483" borderId="0" xfId="0" applyFont="1" applyFill="1" applyAlignment="1">
      <alignment horizontal="left"/>
    </xf>
    <xf numFmtId="0" fontId="1" fillId="484" borderId="0" xfId="0" applyFont="1" applyFill="1" applyAlignment="1">
      <alignment horizontal="left"/>
    </xf>
    <xf numFmtId="0" fontId="3" fillId="143" borderId="0" xfId="0" applyFont="1" applyFill="1" applyAlignment="1">
      <alignment horizontal="left"/>
    </xf>
    <xf numFmtId="0" fontId="3" fillId="485" borderId="0" xfId="0" applyFont="1" applyFill="1" applyAlignment="1">
      <alignment horizontal="left"/>
    </xf>
    <xf numFmtId="0" fontId="1" fillId="486" borderId="0" xfId="0" applyFont="1" applyFill="1" applyAlignment="1">
      <alignment horizontal="left"/>
    </xf>
    <xf numFmtId="0" fontId="3" fillId="487" borderId="0" xfId="0" applyFont="1" applyFill="1" applyAlignment="1">
      <alignment horizontal="left"/>
    </xf>
    <xf numFmtId="0" fontId="3" fillId="488" borderId="0" xfId="0" applyFont="1" applyFill="1" applyAlignment="1">
      <alignment horizontal="left"/>
    </xf>
    <xf numFmtId="0" fontId="1" fillId="489" borderId="0" xfId="0" applyFont="1" applyFill="1" applyAlignment="1">
      <alignment horizontal="left"/>
    </xf>
    <xf numFmtId="0" fontId="1" fillId="490" borderId="0" xfId="0" applyFont="1" applyFill="1" applyAlignment="1">
      <alignment horizontal="left"/>
    </xf>
    <xf numFmtId="0" fontId="3" fillId="491" borderId="0" xfId="0" applyFont="1" applyFill="1" applyAlignment="1">
      <alignment horizontal="left"/>
    </xf>
    <xf numFmtId="0" fontId="1" fillId="492" borderId="0" xfId="0" applyFont="1" applyFill="1" applyAlignment="1">
      <alignment horizontal="left"/>
    </xf>
    <xf numFmtId="0" fontId="1" fillId="493" borderId="0" xfId="0" applyFont="1" applyFill="1" applyAlignment="1">
      <alignment horizontal="left"/>
    </xf>
    <xf numFmtId="0" fontId="3" fillId="494" borderId="0" xfId="0" applyFont="1" applyFill="1" applyAlignment="1">
      <alignment horizontal="left"/>
    </xf>
    <xf numFmtId="0" fontId="1" fillId="495" borderId="0" xfId="0" applyFont="1" applyFill="1" applyAlignment="1">
      <alignment horizontal="left"/>
    </xf>
    <xf numFmtId="0" fontId="1" fillId="496" borderId="0" xfId="0" applyFont="1" applyFill="1" applyAlignment="1">
      <alignment horizontal="left"/>
    </xf>
    <xf numFmtId="0" fontId="3" fillId="497" borderId="0" xfId="0" applyFont="1" applyFill="1" applyAlignment="1">
      <alignment horizontal="left"/>
    </xf>
    <xf numFmtId="0" fontId="1" fillId="498" borderId="0" xfId="0" applyFont="1" applyFill="1" applyAlignment="1">
      <alignment horizontal="left"/>
    </xf>
    <xf numFmtId="0" fontId="3" fillId="148" borderId="0" xfId="0" applyFont="1" applyFill="1" applyAlignment="1">
      <alignment horizontal="left"/>
    </xf>
    <xf numFmtId="0" fontId="1" fillId="499" borderId="0" xfId="0" applyFont="1" applyFill="1" applyAlignment="1">
      <alignment horizontal="left"/>
    </xf>
    <xf numFmtId="0" fontId="3" fillId="149" borderId="0" xfId="0" applyFont="1" applyFill="1" applyAlignment="1">
      <alignment horizontal="left"/>
    </xf>
    <xf numFmtId="0" fontId="3" fillId="150" borderId="0" xfId="0" applyFont="1" applyFill="1" applyAlignment="1">
      <alignment horizontal="left"/>
    </xf>
    <xf numFmtId="0" fontId="1" fillId="500" borderId="0" xfId="0" applyFont="1" applyFill="1" applyAlignment="1">
      <alignment horizontal="left"/>
    </xf>
    <xf numFmtId="0" fontId="3" fillId="501" borderId="0" xfId="0" applyFont="1" applyFill="1" applyAlignment="1">
      <alignment horizontal="left"/>
    </xf>
    <xf numFmtId="0" fontId="1" fillId="502" borderId="0" xfId="0" applyFont="1" applyFill="1" applyAlignment="1">
      <alignment horizontal="left"/>
    </xf>
    <xf numFmtId="0" fontId="3" fillId="503" borderId="0" xfId="0" applyFont="1" applyFill="1" applyAlignment="1">
      <alignment horizontal="left"/>
    </xf>
    <xf numFmtId="0" fontId="3" fillId="504" borderId="0" xfId="0" applyFont="1" applyFill="1" applyAlignment="1">
      <alignment horizontal="left"/>
    </xf>
    <xf numFmtId="0" fontId="1" fillId="505" borderId="0" xfId="0" applyFont="1" applyFill="1" applyAlignment="1">
      <alignment horizontal="left"/>
    </xf>
    <xf numFmtId="0" fontId="3" fillId="506" borderId="0" xfId="0" applyFont="1" applyFill="1" applyAlignment="1">
      <alignment horizontal="left"/>
    </xf>
    <xf numFmtId="0" fontId="3" fillId="507" borderId="0" xfId="0" applyFont="1" applyFill="1" applyAlignment="1">
      <alignment horizontal="left"/>
    </xf>
    <xf numFmtId="0" fontId="1" fillId="508" borderId="0" xfId="0" applyFont="1" applyFill="1" applyAlignment="1">
      <alignment horizontal="left"/>
    </xf>
    <xf numFmtId="0" fontId="1" fillId="509" borderId="0" xfId="0" applyFont="1" applyFill="1" applyAlignment="1">
      <alignment horizontal="left"/>
    </xf>
    <xf numFmtId="0" fontId="3" fillId="510" borderId="0" xfId="0" applyFont="1" applyFill="1" applyAlignment="1">
      <alignment horizontal="left"/>
    </xf>
    <xf numFmtId="0" fontId="1" fillId="511" borderId="0" xfId="0" applyFont="1" applyFill="1" applyAlignment="1">
      <alignment horizontal="left"/>
    </xf>
    <xf numFmtId="0" fontId="1" fillId="512" borderId="0" xfId="0" applyFont="1" applyFill="1" applyAlignment="1">
      <alignment horizontal="left"/>
    </xf>
    <xf numFmtId="0" fontId="3" fillId="513" borderId="0" xfId="0" applyFont="1" applyFill="1" applyAlignment="1">
      <alignment horizontal="left"/>
    </xf>
    <xf numFmtId="0" fontId="1" fillId="514" borderId="0" xfId="0" applyFont="1" applyFill="1" applyAlignment="1">
      <alignment horizontal="left"/>
    </xf>
    <xf numFmtId="0" fontId="1" fillId="515" borderId="0" xfId="0" applyFont="1" applyFill="1" applyAlignment="1">
      <alignment horizontal="left"/>
    </xf>
    <xf numFmtId="0" fontId="3" fillId="516" borderId="0" xfId="0" applyFont="1" applyFill="1" applyAlignment="1">
      <alignment horizontal="left"/>
    </xf>
    <xf numFmtId="0" fontId="1" fillId="517" borderId="0" xfId="0" applyFont="1" applyFill="1" applyAlignment="1">
      <alignment horizontal="left"/>
    </xf>
    <xf numFmtId="0" fontId="3" fillId="518" borderId="0" xfId="0" applyFont="1" applyFill="1" applyAlignment="1">
      <alignment horizontal="left"/>
    </xf>
    <xf numFmtId="0" fontId="3" fillId="519" borderId="0" xfId="0" applyFont="1" applyFill="1" applyAlignment="1">
      <alignment horizontal="left"/>
    </xf>
    <xf numFmtId="0" fontId="1" fillId="520" borderId="0" xfId="0" applyFont="1" applyFill="1" applyAlignment="1">
      <alignment horizontal="left"/>
    </xf>
    <xf numFmtId="0" fontId="1" fillId="521" borderId="0" xfId="0" applyFont="1" applyFill="1" applyAlignment="1">
      <alignment horizontal="left"/>
    </xf>
    <xf numFmtId="0" fontId="3" fillId="522" borderId="0" xfId="0" applyFont="1" applyFill="1" applyAlignment="1">
      <alignment horizontal="left"/>
    </xf>
    <xf numFmtId="0" fontId="1" fillId="523" borderId="0" xfId="0" applyFont="1" applyFill="1" applyAlignment="1">
      <alignment horizontal="left"/>
    </xf>
    <xf numFmtId="0" fontId="1" fillId="524" borderId="0" xfId="0" applyFont="1" applyFill="1" applyAlignment="1">
      <alignment horizontal="left"/>
    </xf>
    <xf numFmtId="0" fontId="3" fillId="525" borderId="0" xfId="0" applyFont="1" applyFill="1" applyAlignment="1">
      <alignment horizontal="left"/>
    </xf>
    <xf numFmtId="0" fontId="1" fillId="526" borderId="0" xfId="0" applyFont="1" applyFill="1" applyAlignment="1">
      <alignment horizontal="left"/>
    </xf>
    <xf numFmtId="0" fontId="1" fillId="160" borderId="0" xfId="0" applyFont="1" applyFill="1"/>
    <xf numFmtId="0" fontId="1" fillId="163" borderId="0" xfId="0" applyFont="1" applyFill="1"/>
    <xf numFmtId="0" fontId="1" fillId="166" borderId="0" xfId="0" applyFont="1" applyFill="1"/>
    <xf numFmtId="0" fontId="1" fillId="169" borderId="0" xfId="0" applyFont="1" applyFill="1"/>
    <xf numFmtId="0" fontId="1" fillId="15" borderId="0" xfId="0" applyFont="1" applyFill="1"/>
    <xf numFmtId="0" fontId="3" fillId="527" borderId="0" xfId="0" applyFont="1" applyFill="1"/>
    <xf numFmtId="0" fontId="3" fillId="528" borderId="0" xfId="0" applyFont="1" applyFill="1"/>
    <xf numFmtId="0" fontId="3" fillId="529" borderId="0" xfId="0" applyFont="1" applyFill="1"/>
    <xf numFmtId="0" fontId="3" fillId="530" borderId="0" xfId="0" applyFont="1" applyFill="1"/>
    <xf numFmtId="0" fontId="3" fillId="172" borderId="0" xfId="0" applyFont="1" applyFill="1"/>
    <xf numFmtId="0" fontId="10" fillId="7" borderId="0" xfId="0" applyFont="1" applyFill="1"/>
    <xf numFmtId="0" fontId="11" fillId="4" borderId="0" xfId="0" applyFont="1" applyFill="1"/>
    <xf numFmtId="0" fontId="12" fillId="3" borderId="0" xfId="0" applyFont="1" applyFill="1"/>
    <xf numFmtId="0" fontId="13" fillId="93" borderId="0" xfId="0" applyFont="1" applyFill="1"/>
    <xf numFmtId="0" fontId="14" fillId="91" borderId="0" xfId="0" applyFont="1" applyFill="1"/>
    <xf numFmtId="0" fontId="15" fillId="8" borderId="0" xfId="0" applyFont="1" applyFill="1"/>
    <xf numFmtId="0" fontId="16" fillId="9" borderId="0" xfId="0" applyFont="1" applyFill="1"/>
    <xf numFmtId="0" fontId="17" fillId="96" borderId="0" xfId="0" applyFont="1" applyFill="1"/>
    <xf numFmtId="0" fontId="18" fillId="10" borderId="0" xfId="0" applyFont="1" applyFill="1"/>
    <xf numFmtId="0" fontId="19" fillId="6" borderId="0" xfId="0" applyFont="1" applyFill="1"/>
    <xf numFmtId="0" fontId="20" fillId="5" borderId="0" xfId="0" applyFont="1" applyFill="1"/>
    <xf numFmtId="0" fontId="21" fillId="34" borderId="0" xfId="0" applyFont="1" applyFill="1"/>
    <xf numFmtId="0" fontId="21" fillId="37" borderId="0" xfId="0" applyFont="1" applyFill="1"/>
    <xf numFmtId="0" fontId="21" fillId="38" borderId="0" xfId="0" applyFont="1" applyFill="1"/>
    <xf numFmtId="0" fontId="22" fillId="2" borderId="0" xfId="0" applyFont="1" applyFill="1"/>
  </cellXfs>
  <cellStyles count="1">
    <cellStyle name="Normal" xfId="0" builtinId="0"/>
  </cellStyles>
  <dxfs count="6">
    <dxf>
      <font>
        <b val="0"/>
        <i val="0"/>
        <color rgb="FF000000"/>
      </font>
      <fill>
        <patternFill patternType="none">
          <bgColor rgb="FFE7F2FE"/>
        </patternFill>
      </fill>
    </dxf>
    <dxf>
      <font>
        <b val="0"/>
        <i val="0"/>
        <color rgb="FF000000"/>
      </font>
      <fill>
        <patternFill patternType="solid">
          <bgColor rgb="FFE7F2FE"/>
        </patternFill>
      </fill>
    </dxf>
    <dxf>
      <font>
        <b/>
        <i val="0"/>
        <color rgb="FFFFFFFF"/>
      </font>
      <fill>
        <patternFill>
          <bgColor rgb="FF1E90FF"/>
        </patternFill>
      </fill>
      <border>
        <vertical style="thin">
          <color rgb="FF1E90FF"/>
        </vertical>
      </border>
    </dxf>
    <dxf>
      <font>
        <b/>
        <i val="0"/>
        <color rgb="FFFFFFFF"/>
      </font>
      <fill>
        <patternFill>
          <bgColor rgb="FF1E90FF"/>
        </patternFill>
      </fill>
      <border>
        <vertical style="thin">
          <color rgb="FF1E90FF"/>
        </vertical>
      </border>
    </dxf>
    <dxf>
      <font>
        <b/>
        <i val="0"/>
        <color rgb="FFFFFFFF"/>
      </font>
      <fill>
        <patternFill>
          <bgColor rgb="FF1E90FF"/>
        </patternFill>
      </fill>
      <border>
        <vertical style="thin">
          <color rgb="FF1E90FF"/>
        </vertical>
      </border>
    </dxf>
    <dxf>
      <font>
        <b val="0"/>
        <i val="0"/>
        <color rgb="FF000000"/>
      </font>
      <border>
        <left style="thin">
          <color rgb="FF1E90FF"/>
        </left>
        <right style="thin">
          <color rgb="FF1E90FF"/>
        </right>
        <top style="thin">
          <color rgb="FF1E90FF"/>
        </top>
        <bottom style="thin">
          <color rgb="FF1E90FF"/>
        </bottom>
        <vertical style="thin">
          <color rgb="FF57A7F5"/>
        </vertical>
        <horizontal style="thin">
          <color rgb="FF57A7F5"/>
        </horizontal>
      </border>
    </dxf>
  </dxfs>
  <tableStyles count="1" defaultTableStyle="TableStyleMedium2" defaultPivotStyle="PivotStyleLight16">
    <tableStyle name="Basic" pivot="0" count="6" xr9:uid="{1E566619-C826-409A-9897-B53445A3BF95}">
      <tableStyleElement type="wholeTable" dxfId="5"/>
      <tableStyleElement type="headerRow" dxfId="4"/>
      <tableStyleElement type="totalRow" dxfId="3"/>
      <tableStyleElement type="firstColumn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42B1D-5059-494D-BA6B-CFB5A8494287}">
  <sheetPr codeName="Sheet1"/>
  <dimension ref="A1"/>
  <sheetViews>
    <sheetView showGridLines="0" tabSelected="1" workbookViewId="0">
      <selection activeCell="E9" sqref="E9"/>
    </sheetView>
  </sheetViews>
  <sheetFormatPr defaultRowHeight="15" x14ac:dyDescent="0.25"/>
  <sheetData/>
  <phoneticPr fontId="2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FAD84-2BF5-415F-AE34-EA00941634B0}">
  <sheetPr codeName="Sheet2"/>
  <dimension ref="A1:D7"/>
  <sheetViews>
    <sheetView workbookViewId="0">
      <selection activeCell="D11" sqref="D11"/>
    </sheetView>
  </sheetViews>
  <sheetFormatPr defaultRowHeight="15" x14ac:dyDescent="0.25"/>
  <cols>
    <col min="1" max="4" width="17" customWidth="1"/>
  </cols>
  <sheetData>
    <row r="1" spans="1:4" x14ac:dyDescent="0.25">
      <c r="A1" s="1" t="s">
        <v>685</v>
      </c>
    </row>
    <row r="2" spans="1:4" x14ac:dyDescent="0.25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5">
      <c r="A3" t="s">
        <v>4</v>
      </c>
      <c r="B3" s="599" t="s">
        <v>6</v>
      </c>
      <c r="C3" s="586" t="s">
        <v>7</v>
      </c>
      <c r="D3" s="587" t="s">
        <v>8</v>
      </c>
    </row>
    <row r="4" spans="1:4" x14ac:dyDescent="0.25">
      <c r="A4" t="s">
        <v>5</v>
      </c>
      <c r="B4" s="592" t="s">
        <v>679</v>
      </c>
      <c r="C4" s="588" t="s">
        <v>680</v>
      </c>
      <c r="D4" s="589" t="s">
        <v>681</v>
      </c>
    </row>
    <row r="5" spans="1:4" x14ac:dyDescent="0.25">
      <c r="A5" t="s">
        <v>11</v>
      </c>
      <c r="B5" s="593" t="s">
        <v>191</v>
      </c>
      <c r="C5" s="590" t="s">
        <v>15</v>
      </c>
      <c r="D5" s="591" t="s">
        <v>16</v>
      </c>
    </row>
    <row r="6" spans="1:4" x14ac:dyDescent="0.25">
      <c r="A6" t="s">
        <v>10</v>
      </c>
      <c r="B6" s="594" t="s">
        <v>14</v>
      </c>
      <c r="C6" s="595" t="s">
        <v>12</v>
      </c>
      <c r="D6" s="585" t="s">
        <v>13</v>
      </c>
    </row>
    <row r="7" spans="1:4" x14ac:dyDescent="0.25">
      <c r="A7" t="s">
        <v>9</v>
      </c>
      <c r="B7" s="596" t="s">
        <v>682</v>
      </c>
      <c r="C7" s="597" t="s">
        <v>683</v>
      </c>
      <c r="D7" s="598" t="s">
        <v>684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E2786-60D2-409B-84CD-709034CEFEAE}">
  <sheetPr codeName="Sheet3"/>
  <dimension ref="B3:B191"/>
  <sheetViews>
    <sheetView workbookViewId="0">
      <selection activeCell="I3" sqref="I3"/>
    </sheetView>
  </sheetViews>
  <sheetFormatPr defaultRowHeight="15" x14ac:dyDescent="0.25"/>
  <sheetData>
    <row r="3" spans="2:2" x14ac:dyDescent="0.25">
      <c r="B3" t="s">
        <v>17</v>
      </c>
    </row>
    <row r="4" spans="2:2" x14ac:dyDescent="0.25">
      <c r="B4" t="s">
        <v>18</v>
      </c>
    </row>
    <row r="5" spans="2:2" x14ac:dyDescent="0.25">
      <c r="B5" t="s">
        <v>19</v>
      </c>
    </row>
    <row r="6" spans="2:2" x14ac:dyDescent="0.25">
      <c r="B6" t="s">
        <v>20</v>
      </c>
    </row>
    <row r="7" spans="2:2" x14ac:dyDescent="0.25">
      <c r="B7" t="s">
        <v>21</v>
      </c>
    </row>
    <row r="9" spans="2:2" x14ac:dyDescent="0.25">
      <c r="B9" t="s">
        <v>22</v>
      </c>
    </row>
    <row r="10" spans="2:2" x14ac:dyDescent="0.25">
      <c r="B10" t="s">
        <v>23</v>
      </c>
    </row>
    <row r="11" spans="2:2" x14ac:dyDescent="0.25">
      <c r="B11" t="s">
        <v>24</v>
      </c>
    </row>
    <row r="12" spans="2:2" x14ac:dyDescent="0.25">
      <c r="B12" t="s">
        <v>25</v>
      </c>
    </row>
    <row r="13" spans="2:2" x14ac:dyDescent="0.25">
      <c r="B13" t="s">
        <v>26</v>
      </c>
    </row>
    <row r="15" spans="2:2" x14ac:dyDescent="0.25">
      <c r="B15" t="s">
        <v>27</v>
      </c>
    </row>
    <row r="16" spans="2:2" x14ac:dyDescent="0.25">
      <c r="B16" t="s">
        <v>28</v>
      </c>
    </row>
    <row r="17" spans="2:2" x14ac:dyDescent="0.25">
      <c r="B17" t="s">
        <v>29</v>
      </c>
    </row>
    <row r="18" spans="2:2" x14ac:dyDescent="0.25">
      <c r="B18" t="s">
        <v>30</v>
      </c>
    </row>
    <row r="19" spans="2:2" x14ac:dyDescent="0.25">
      <c r="B19" t="s">
        <v>31</v>
      </c>
    </row>
    <row r="21" spans="2:2" x14ac:dyDescent="0.25">
      <c r="B21" t="s">
        <v>32</v>
      </c>
    </row>
    <row r="22" spans="2:2" x14ac:dyDescent="0.25">
      <c r="B22" t="s">
        <v>33</v>
      </c>
    </row>
    <row r="23" spans="2:2" x14ac:dyDescent="0.25">
      <c r="B23" t="s">
        <v>34</v>
      </c>
    </row>
    <row r="24" spans="2:2" x14ac:dyDescent="0.25">
      <c r="B24" t="s">
        <v>35</v>
      </c>
    </row>
    <row r="25" spans="2:2" x14ac:dyDescent="0.25">
      <c r="B25" t="s">
        <v>36</v>
      </c>
    </row>
    <row r="27" spans="2:2" x14ac:dyDescent="0.25">
      <c r="B27" t="s">
        <v>37</v>
      </c>
    </row>
    <row r="28" spans="2:2" x14ac:dyDescent="0.25">
      <c r="B28" t="s">
        <v>38</v>
      </c>
    </row>
    <row r="29" spans="2:2" x14ac:dyDescent="0.25">
      <c r="B29" t="s">
        <v>39</v>
      </c>
    </row>
    <row r="31" spans="2:2" x14ac:dyDescent="0.25">
      <c r="B31" t="s">
        <v>40</v>
      </c>
    </row>
    <row r="32" spans="2:2" x14ac:dyDescent="0.25">
      <c r="B32" t="s">
        <v>41</v>
      </c>
    </row>
    <row r="33" spans="2:2" x14ac:dyDescent="0.25">
      <c r="B33" t="s">
        <v>42</v>
      </c>
    </row>
    <row r="34" spans="2:2" x14ac:dyDescent="0.25">
      <c r="B34" t="s">
        <v>43</v>
      </c>
    </row>
    <row r="35" spans="2:2" x14ac:dyDescent="0.25">
      <c r="B35" t="s">
        <v>44</v>
      </c>
    </row>
    <row r="36" spans="2:2" x14ac:dyDescent="0.25">
      <c r="B36" t="s">
        <v>45</v>
      </c>
    </row>
    <row r="37" spans="2:2" x14ac:dyDescent="0.25">
      <c r="B37" t="s">
        <v>46</v>
      </c>
    </row>
    <row r="39" spans="2:2" x14ac:dyDescent="0.25">
      <c r="B39" t="s">
        <v>47</v>
      </c>
    </row>
    <row r="40" spans="2:2" x14ac:dyDescent="0.25">
      <c r="B40" t="s">
        <v>48</v>
      </c>
    </row>
    <row r="41" spans="2:2" x14ac:dyDescent="0.25">
      <c r="B41" t="s">
        <v>49</v>
      </c>
    </row>
    <row r="42" spans="2:2" x14ac:dyDescent="0.25">
      <c r="B42" t="s">
        <v>50</v>
      </c>
    </row>
    <row r="43" spans="2:2" x14ac:dyDescent="0.25">
      <c r="B43" t="s">
        <v>51</v>
      </c>
    </row>
    <row r="44" spans="2:2" x14ac:dyDescent="0.25">
      <c r="B44" t="s">
        <v>52</v>
      </c>
    </row>
    <row r="45" spans="2:2" x14ac:dyDescent="0.25">
      <c r="B45" t="s">
        <v>53</v>
      </c>
    </row>
    <row r="46" spans="2:2" x14ac:dyDescent="0.25">
      <c r="B46" t="s">
        <v>54</v>
      </c>
    </row>
    <row r="47" spans="2:2" x14ac:dyDescent="0.25">
      <c r="B47" t="s">
        <v>55</v>
      </c>
    </row>
    <row r="48" spans="2:2" x14ac:dyDescent="0.25">
      <c r="B48" t="s">
        <v>56</v>
      </c>
    </row>
    <row r="50" spans="2:2" x14ac:dyDescent="0.25">
      <c r="B50" t="s">
        <v>57</v>
      </c>
    </row>
    <row r="51" spans="2:2" x14ac:dyDescent="0.25">
      <c r="B51" t="s">
        <v>58</v>
      </c>
    </row>
    <row r="52" spans="2:2" x14ac:dyDescent="0.25">
      <c r="B52" t="s">
        <v>59</v>
      </c>
    </row>
    <row r="53" spans="2:2" x14ac:dyDescent="0.25">
      <c r="B53" t="s">
        <v>60</v>
      </c>
    </row>
    <row r="54" spans="2:2" x14ac:dyDescent="0.25">
      <c r="B54" t="s">
        <v>61</v>
      </c>
    </row>
    <row r="55" spans="2:2" x14ac:dyDescent="0.25">
      <c r="B55" t="s">
        <v>62</v>
      </c>
    </row>
    <row r="57" spans="2:2" x14ac:dyDescent="0.25">
      <c r="B57" t="s">
        <v>63</v>
      </c>
    </row>
    <row r="58" spans="2:2" x14ac:dyDescent="0.25">
      <c r="B58" t="s">
        <v>64</v>
      </c>
    </row>
    <row r="59" spans="2:2" x14ac:dyDescent="0.25">
      <c r="B59" t="s">
        <v>65</v>
      </c>
    </row>
    <row r="60" spans="2:2" x14ac:dyDescent="0.25">
      <c r="B60" t="s">
        <v>66</v>
      </c>
    </row>
    <row r="61" spans="2:2" x14ac:dyDescent="0.25">
      <c r="B61" t="s">
        <v>67</v>
      </c>
    </row>
    <row r="62" spans="2:2" x14ac:dyDescent="0.25">
      <c r="B62" t="s">
        <v>68</v>
      </c>
    </row>
    <row r="63" spans="2:2" x14ac:dyDescent="0.25">
      <c r="B63" t="s">
        <v>69</v>
      </c>
    </row>
    <row r="64" spans="2:2" x14ac:dyDescent="0.25">
      <c r="B64" t="s">
        <v>70</v>
      </c>
    </row>
    <row r="65" spans="2:2" x14ac:dyDescent="0.25">
      <c r="B65" t="s">
        <v>71</v>
      </c>
    </row>
    <row r="66" spans="2:2" x14ac:dyDescent="0.25">
      <c r="B66" t="s">
        <v>72</v>
      </c>
    </row>
    <row r="67" spans="2:2" x14ac:dyDescent="0.25">
      <c r="B67" t="s">
        <v>73</v>
      </c>
    </row>
    <row r="68" spans="2:2" x14ac:dyDescent="0.25">
      <c r="B68" t="s">
        <v>74</v>
      </c>
    </row>
    <row r="70" spans="2:2" x14ac:dyDescent="0.25">
      <c r="B70" t="s">
        <v>75</v>
      </c>
    </row>
    <row r="71" spans="2:2" x14ac:dyDescent="0.25">
      <c r="B71" t="s">
        <v>76</v>
      </c>
    </row>
    <row r="72" spans="2:2" x14ac:dyDescent="0.25">
      <c r="B72" t="s">
        <v>77</v>
      </c>
    </row>
    <row r="73" spans="2:2" x14ac:dyDescent="0.25">
      <c r="B73" t="s">
        <v>78</v>
      </c>
    </row>
    <row r="74" spans="2:2" x14ac:dyDescent="0.25">
      <c r="B74" t="s">
        <v>79</v>
      </c>
    </row>
    <row r="75" spans="2:2" x14ac:dyDescent="0.25">
      <c r="B75" t="s">
        <v>80</v>
      </c>
    </row>
    <row r="76" spans="2:2" x14ac:dyDescent="0.25">
      <c r="B76" t="s">
        <v>81</v>
      </c>
    </row>
    <row r="77" spans="2:2" x14ac:dyDescent="0.25">
      <c r="B77" t="s">
        <v>82</v>
      </c>
    </row>
    <row r="78" spans="2:2" x14ac:dyDescent="0.25">
      <c r="B78" t="s">
        <v>83</v>
      </c>
    </row>
    <row r="79" spans="2:2" x14ac:dyDescent="0.25">
      <c r="B79" t="s">
        <v>84</v>
      </c>
    </row>
    <row r="80" spans="2:2" x14ac:dyDescent="0.25">
      <c r="B80" t="s">
        <v>85</v>
      </c>
    </row>
    <row r="81" spans="2:2" x14ac:dyDescent="0.25">
      <c r="B81" t="s">
        <v>86</v>
      </c>
    </row>
    <row r="82" spans="2:2" x14ac:dyDescent="0.25">
      <c r="B82" t="s">
        <v>87</v>
      </c>
    </row>
    <row r="83" spans="2:2" x14ac:dyDescent="0.25">
      <c r="B83" t="s">
        <v>88</v>
      </c>
    </row>
    <row r="84" spans="2:2" x14ac:dyDescent="0.25">
      <c r="B84" t="s">
        <v>89</v>
      </c>
    </row>
    <row r="85" spans="2:2" x14ac:dyDescent="0.25">
      <c r="B85" t="s">
        <v>90</v>
      </c>
    </row>
    <row r="86" spans="2:2" x14ac:dyDescent="0.25">
      <c r="B86" t="s">
        <v>91</v>
      </c>
    </row>
    <row r="87" spans="2:2" x14ac:dyDescent="0.25">
      <c r="B87" t="s">
        <v>92</v>
      </c>
    </row>
    <row r="89" spans="2:2" x14ac:dyDescent="0.25">
      <c r="B89" t="s">
        <v>93</v>
      </c>
    </row>
    <row r="90" spans="2:2" x14ac:dyDescent="0.25">
      <c r="B90" t="s">
        <v>94</v>
      </c>
    </row>
    <row r="91" spans="2:2" x14ac:dyDescent="0.25">
      <c r="B91" t="s">
        <v>95</v>
      </c>
    </row>
    <row r="92" spans="2:2" x14ac:dyDescent="0.25">
      <c r="B92" t="s">
        <v>96</v>
      </c>
    </row>
    <row r="93" spans="2:2" x14ac:dyDescent="0.25">
      <c r="B93" t="s">
        <v>97</v>
      </c>
    </row>
    <row r="94" spans="2:2" x14ac:dyDescent="0.25">
      <c r="B94" t="s">
        <v>98</v>
      </c>
    </row>
    <row r="95" spans="2:2" x14ac:dyDescent="0.25">
      <c r="B95" t="s">
        <v>99</v>
      </c>
    </row>
    <row r="96" spans="2:2" x14ac:dyDescent="0.25">
      <c r="B96" t="s">
        <v>100</v>
      </c>
    </row>
    <row r="97" spans="2:2" x14ac:dyDescent="0.25">
      <c r="B97" t="s">
        <v>101</v>
      </c>
    </row>
    <row r="98" spans="2:2" x14ac:dyDescent="0.25">
      <c r="B98" t="s">
        <v>102</v>
      </c>
    </row>
    <row r="99" spans="2:2" x14ac:dyDescent="0.25">
      <c r="B99" t="s">
        <v>103</v>
      </c>
    </row>
    <row r="100" spans="2:2" x14ac:dyDescent="0.25">
      <c r="B100" t="s">
        <v>104</v>
      </c>
    </row>
    <row r="101" spans="2:2" x14ac:dyDescent="0.25">
      <c r="B101" t="s">
        <v>105</v>
      </c>
    </row>
    <row r="102" spans="2:2" x14ac:dyDescent="0.25">
      <c r="B102" t="s">
        <v>106</v>
      </c>
    </row>
    <row r="103" spans="2:2" x14ac:dyDescent="0.25">
      <c r="B103" t="s">
        <v>107</v>
      </c>
    </row>
    <row r="104" spans="2:2" x14ac:dyDescent="0.25">
      <c r="B104" t="s">
        <v>108</v>
      </c>
    </row>
    <row r="105" spans="2:2" x14ac:dyDescent="0.25">
      <c r="B105" t="s">
        <v>109</v>
      </c>
    </row>
    <row r="106" spans="2:2" x14ac:dyDescent="0.25">
      <c r="B106" t="s">
        <v>110</v>
      </c>
    </row>
    <row r="107" spans="2:2" x14ac:dyDescent="0.25">
      <c r="B107" t="s">
        <v>111</v>
      </c>
    </row>
    <row r="109" spans="2:2" x14ac:dyDescent="0.25">
      <c r="B109" t="s">
        <v>112</v>
      </c>
    </row>
    <row r="110" spans="2:2" x14ac:dyDescent="0.25">
      <c r="B110" t="s">
        <v>113</v>
      </c>
    </row>
    <row r="111" spans="2:2" x14ac:dyDescent="0.25">
      <c r="B111" t="s">
        <v>114</v>
      </c>
    </row>
    <row r="112" spans="2:2" x14ac:dyDescent="0.25">
      <c r="B112" t="s">
        <v>115</v>
      </c>
    </row>
    <row r="113" spans="2:2" x14ac:dyDescent="0.25">
      <c r="B113" t="s">
        <v>116</v>
      </c>
    </row>
    <row r="114" spans="2:2" x14ac:dyDescent="0.25">
      <c r="B114" t="s">
        <v>117</v>
      </c>
    </row>
    <row r="115" spans="2:2" x14ac:dyDescent="0.25">
      <c r="B115" t="s">
        <v>118</v>
      </c>
    </row>
    <row r="116" spans="2:2" x14ac:dyDescent="0.25">
      <c r="B116" t="s">
        <v>119</v>
      </c>
    </row>
    <row r="117" spans="2:2" x14ac:dyDescent="0.25">
      <c r="B117" t="s">
        <v>120</v>
      </c>
    </row>
    <row r="118" spans="2:2" x14ac:dyDescent="0.25">
      <c r="B118" t="s">
        <v>121</v>
      </c>
    </row>
    <row r="119" spans="2:2" x14ac:dyDescent="0.25">
      <c r="B119" t="s">
        <v>122</v>
      </c>
    </row>
    <row r="120" spans="2:2" x14ac:dyDescent="0.25">
      <c r="B120" t="s">
        <v>123</v>
      </c>
    </row>
    <row r="121" spans="2:2" x14ac:dyDescent="0.25">
      <c r="B121" t="s">
        <v>124</v>
      </c>
    </row>
    <row r="122" spans="2:2" x14ac:dyDescent="0.25">
      <c r="B122" t="s">
        <v>125</v>
      </c>
    </row>
    <row r="123" spans="2:2" x14ac:dyDescent="0.25">
      <c r="B123" t="s">
        <v>126</v>
      </c>
    </row>
    <row r="124" spans="2:2" x14ac:dyDescent="0.25">
      <c r="B124" t="s">
        <v>127</v>
      </c>
    </row>
    <row r="126" spans="2:2" x14ac:dyDescent="0.25">
      <c r="B126" t="s">
        <v>128</v>
      </c>
    </row>
    <row r="127" spans="2:2" x14ac:dyDescent="0.25">
      <c r="B127" t="s">
        <v>129</v>
      </c>
    </row>
    <row r="128" spans="2:2" x14ac:dyDescent="0.25">
      <c r="B128" t="s">
        <v>130</v>
      </c>
    </row>
    <row r="129" spans="2:2" x14ac:dyDescent="0.25">
      <c r="B129" t="s">
        <v>131</v>
      </c>
    </row>
    <row r="130" spans="2:2" x14ac:dyDescent="0.25">
      <c r="B130" t="s">
        <v>132</v>
      </c>
    </row>
    <row r="131" spans="2:2" x14ac:dyDescent="0.25">
      <c r="B131" t="s">
        <v>133</v>
      </c>
    </row>
    <row r="132" spans="2:2" x14ac:dyDescent="0.25">
      <c r="B132" t="s">
        <v>134</v>
      </c>
    </row>
    <row r="133" spans="2:2" x14ac:dyDescent="0.25">
      <c r="B133" t="s">
        <v>135</v>
      </c>
    </row>
    <row r="134" spans="2:2" x14ac:dyDescent="0.25">
      <c r="B134" t="s">
        <v>136</v>
      </c>
    </row>
    <row r="135" spans="2:2" x14ac:dyDescent="0.25">
      <c r="B135" t="s">
        <v>137</v>
      </c>
    </row>
    <row r="136" spans="2:2" x14ac:dyDescent="0.25">
      <c r="B136" t="s">
        <v>138</v>
      </c>
    </row>
    <row r="137" spans="2:2" x14ac:dyDescent="0.25">
      <c r="B137" t="s">
        <v>139</v>
      </c>
    </row>
    <row r="138" spans="2:2" x14ac:dyDescent="0.25">
      <c r="B138" t="s">
        <v>140</v>
      </c>
    </row>
    <row r="140" spans="2:2" x14ac:dyDescent="0.25">
      <c r="B140" t="s">
        <v>141</v>
      </c>
    </row>
    <row r="141" spans="2:2" x14ac:dyDescent="0.25">
      <c r="B141" t="s">
        <v>142</v>
      </c>
    </row>
    <row r="142" spans="2:2" x14ac:dyDescent="0.25">
      <c r="B142" t="s">
        <v>143</v>
      </c>
    </row>
    <row r="143" spans="2:2" x14ac:dyDescent="0.25">
      <c r="B143" t="s">
        <v>144</v>
      </c>
    </row>
    <row r="144" spans="2:2" x14ac:dyDescent="0.25">
      <c r="B144" t="s">
        <v>145</v>
      </c>
    </row>
    <row r="145" spans="2:2" x14ac:dyDescent="0.25">
      <c r="B145" t="s">
        <v>146</v>
      </c>
    </row>
    <row r="146" spans="2:2" x14ac:dyDescent="0.25">
      <c r="B146" t="s">
        <v>147</v>
      </c>
    </row>
    <row r="147" spans="2:2" x14ac:dyDescent="0.25">
      <c r="B147" t="s">
        <v>148</v>
      </c>
    </row>
    <row r="148" spans="2:2" x14ac:dyDescent="0.25">
      <c r="B148" t="s">
        <v>149</v>
      </c>
    </row>
    <row r="149" spans="2:2" x14ac:dyDescent="0.25">
      <c r="B149" t="s">
        <v>150</v>
      </c>
    </row>
    <row r="150" spans="2:2" x14ac:dyDescent="0.25">
      <c r="B150" t="s">
        <v>151</v>
      </c>
    </row>
    <row r="151" spans="2:2" x14ac:dyDescent="0.25">
      <c r="B151" t="s">
        <v>152</v>
      </c>
    </row>
    <row r="152" spans="2:2" x14ac:dyDescent="0.25">
      <c r="B152" t="s">
        <v>153</v>
      </c>
    </row>
    <row r="153" spans="2:2" x14ac:dyDescent="0.25">
      <c r="B153" t="s">
        <v>154</v>
      </c>
    </row>
    <row r="154" spans="2:2" x14ac:dyDescent="0.25">
      <c r="B154" t="s">
        <v>155</v>
      </c>
    </row>
    <row r="155" spans="2:2" x14ac:dyDescent="0.25">
      <c r="B155" t="s">
        <v>156</v>
      </c>
    </row>
    <row r="156" spans="2:2" x14ac:dyDescent="0.25">
      <c r="B156" t="s">
        <v>157</v>
      </c>
    </row>
    <row r="157" spans="2:2" x14ac:dyDescent="0.25">
      <c r="B157" t="s">
        <v>158</v>
      </c>
    </row>
    <row r="158" spans="2:2" x14ac:dyDescent="0.25">
      <c r="B158" t="s">
        <v>159</v>
      </c>
    </row>
    <row r="159" spans="2:2" x14ac:dyDescent="0.25">
      <c r="B159" t="s">
        <v>160</v>
      </c>
    </row>
    <row r="160" spans="2:2" x14ac:dyDescent="0.25">
      <c r="B160" t="s">
        <v>161</v>
      </c>
    </row>
    <row r="162" spans="2:2" x14ac:dyDescent="0.25">
      <c r="B162" t="s">
        <v>162</v>
      </c>
    </row>
    <row r="163" spans="2:2" x14ac:dyDescent="0.25">
      <c r="B163" t="s">
        <v>163</v>
      </c>
    </row>
    <row r="164" spans="2:2" x14ac:dyDescent="0.25">
      <c r="B164" t="s">
        <v>164</v>
      </c>
    </row>
    <row r="165" spans="2:2" x14ac:dyDescent="0.25">
      <c r="B165" t="s">
        <v>165</v>
      </c>
    </row>
    <row r="166" spans="2:2" x14ac:dyDescent="0.25">
      <c r="B166" t="s">
        <v>166</v>
      </c>
    </row>
    <row r="167" spans="2:2" x14ac:dyDescent="0.25">
      <c r="B167" t="s">
        <v>167</v>
      </c>
    </row>
    <row r="168" spans="2:2" x14ac:dyDescent="0.25">
      <c r="B168" t="s">
        <v>168</v>
      </c>
    </row>
    <row r="169" spans="2:2" x14ac:dyDescent="0.25">
      <c r="B169" t="s">
        <v>169</v>
      </c>
    </row>
    <row r="170" spans="2:2" x14ac:dyDescent="0.25">
      <c r="B170" t="s">
        <v>170</v>
      </c>
    </row>
    <row r="171" spans="2:2" x14ac:dyDescent="0.25">
      <c r="B171" t="s">
        <v>171</v>
      </c>
    </row>
    <row r="172" spans="2:2" x14ac:dyDescent="0.25">
      <c r="B172" t="s">
        <v>172</v>
      </c>
    </row>
    <row r="173" spans="2:2" x14ac:dyDescent="0.25">
      <c r="B173" t="s">
        <v>173</v>
      </c>
    </row>
    <row r="174" spans="2:2" x14ac:dyDescent="0.25">
      <c r="B174" t="s">
        <v>174</v>
      </c>
    </row>
    <row r="175" spans="2:2" x14ac:dyDescent="0.25">
      <c r="B175" t="s">
        <v>175</v>
      </c>
    </row>
    <row r="176" spans="2:2" x14ac:dyDescent="0.25">
      <c r="B176" t="s">
        <v>176</v>
      </c>
    </row>
    <row r="177" spans="2:2" x14ac:dyDescent="0.25">
      <c r="B177" t="s">
        <v>177</v>
      </c>
    </row>
    <row r="178" spans="2:2" x14ac:dyDescent="0.25">
      <c r="B178" t="s">
        <v>178</v>
      </c>
    </row>
    <row r="179" spans="2:2" x14ac:dyDescent="0.25">
      <c r="B179" t="s">
        <v>179</v>
      </c>
    </row>
    <row r="181" spans="2:2" x14ac:dyDescent="0.25">
      <c r="B181" t="s">
        <v>180</v>
      </c>
    </row>
    <row r="182" spans="2:2" x14ac:dyDescent="0.25">
      <c r="B182" t="s">
        <v>181</v>
      </c>
    </row>
    <row r="183" spans="2:2" x14ac:dyDescent="0.25">
      <c r="B183" t="s">
        <v>182</v>
      </c>
    </row>
    <row r="184" spans="2:2" x14ac:dyDescent="0.25">
      <c r="B184" t="s">
        <v>183</v>
      </c>
    </row>
    <row r="185" spans="2:2" x14ac:dyDescent="0.25">
      <c r="B185" t="s">
        <v>184</v>
      </c>
    </row>
    <row r="186" spans="2:2" x14ac:dyDescent="0.25">
      <c r="B186" t="s">
        <v>185</v>
      </c>
    </row>
    <row r="187" spans="2:2" x14ac:dyDescent="0.25">
      <c r="B187" t="s">
        <v>186</v>
      </c>
    </row>
    <row r="188" spans="2:2" x14ac:dyDescent="0.25">
      <c r="B188" t="s">
        <v>187</v>
      </c>
    </row>
    <row r="189" spans="2:2" x14ac:dyDescent="0.25">
      <c r="B189" t="s">
        <v>188</v>
      </c>
    </row>
    <row r="190" spans="2:2" x14ac:dyDescent="0.25">
      <c r="B190" t="s">
        <v>189</v>
      </c>
    </row>
    <row r="191" spans="2:2" x14ac:dyDescent="0.25">
      <c r="B191" t="s">
        <v>190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81423-7275-4AA5-A06B-86C868733D6F}">
  <sheetPr codeName="Sheet4"/>
  <dimension ref="A1:P189"/>
  <sheetViews>
    <sheetView workbookViewId="0">
      <selection activeCell="M9" sqref="M9"/>
    </sheetView>
  </sheetViews>
  <sheetFormatPr defaultRowHeight="15" x14ac:dyDescent="0.25"/>
  <cols>
    <col min="1" max="1" width="26.28515625" bestFit="1" customWidth="1"/>
    <col min="2" max="2" width="14.28515625" customWidth="1"/>
    <col min="3" max="3" width="15.5703125" customWidth="1"/>
    <col min="4" max="4" width="15.140625" customWidth="1"/>
    <col min="5" max="5" width="2.7109375" customWidth="1"/>
    <col min="11" max="12" width="9.140625" style="5"/>
  </cols>
  <sheetData>
    <row r="1" spans="1:16" ht="15.75" x14ac:dyDescent="0.25">
      <c r="A1" s="2" t="s">
        <v>192</v>
      </c>
      <c r="B1" s="2" t="s">
        <v>193</v>
      </c>
      <c r="C1" s="2" t="s">
        <v>194</v>
      </c>
      <c r="D1" s="2" t="s">
        <v>195</v>
      </c>
      <c r="F1" s="3" t="s">
        <v>196</v>
      </c>
      <c r="G1" s="3" t="s">
        <v>197</v>
      </c>
      <c r="H1" s="3" t="s">
        <v>676</v>
      </c>
      <c r="K1" s="166" t="s">
        <v>677</v>
      </c>
    </row>
    <row r="2" spans="1:16" ht="15.75" x14ac:dyDescent="0.25">
      <c r="A2" s="2" t="s">
        <v>198</v>
      </c>
      <c r="B2" s="4"/>
      <c r="C2" s="4"/>
      <c r="D2" s="4"/>
      <c r="J2" t="s">
        <v>678</v>
      </c>
      <c r="K2" s="5">
        <v>25</v>
      </c>
      <c r="L2" s="5">
        <v>75</v>
      </c>
    </row>
    <row r="3" spans="1:16" x14ac:dyDescent="0.25">
      <c r="A3" t="s">
        <v>199</v>
      </c>
      <c r="B3" s="5">
        <v>9406186</v>
      </c>
      <c r="C3" s="6" t="s">
        <v>200</v>
      </c>
      <c r="D3" s="6" t="s">
        <v>201</v>
      </c>
      <c r="F3" s="7" cm="1">
        <f t="array" ref="F3:H3">rgb_to_hsl(C3)</f>
        <v>354.6</v>
      </c>
      <c r="G3" s="7">
        <v>42.735042735042725</v>
      </c>
      <c r="H3" s="7">
        <v>72.156862745098039</v>
      </c>
      <c r="J3" s="167" t="str" cm="1">
        <f t="array" ref="J3">hsl_to_rgb(_xlfn.TEXTJOIN(", ",TRUE,$F3,$G3,$H3))</f>
        <v>214, 154, 159</v>
      </c>
      <c r="K3" s="168" t="str" cm="1">
        <f t="array" ref="K3">hsl_to_rgb(_xlfn.TEXTJOIN(", ",TRUE,$F3,$G3,K$2))</f>
        <v>91, 37, 41</v>
      </c>
      <c r="L3" s="169" t="str" cm="1">
        <f t="array" ref="L3">hsl_to_rgb(_xlfn.TEXTJOIN(", ",TRUE,$F3,$G3,L$2))</f>
        <v>218, 164, 169</v>
      </c>
      <c r="O3" s="575" cm="1">
        <f t="array" ref="O3">rgb_to_long(J3)</f>
        <v>10459862</v>
      </c>
      <c r="P3" s="580" t="e" cm="1">
        <f t="array" aca="1" ref="P3" ca="1">long_to_rgb(colored_contrast_text(O3))</f>
        <v>#VALUE!</v>
      </c>
    </row>
    <row r="4" spans="1:16" x14ac:dyDescent="0.25">
      <c r="A4" t="s">
        <v>202</v>
      </c>
      <c r="B4" s="5">
        <v>7002879</v>
      </c>
      <c r="C4" s="8" t="s">
        <v>203</v>
      </c>
      <c r="D4" s="8" t="s">
        <v>204</v>
      </c>
      <c r="F4" s="7" cm="1">
        <f t="array" ref="F4:H4">rgb_to_hsl(C4)</f>
        <v>45.100671140939596</v>
      </c>
      <c r="G4" s="7">
        <v>58.431372549019599</v>
      </c>
      <c r="H4" s="7">
        <v>70.784313725490193</v>
      </c>
      <c r="J4" s="170" t="str" cm="1">
        <f t="array" ref="J4">hsl_to_rgb(_xlfn.TEXTJOIN(", ",TRUE,$F4,$G4,$H4))</f>
        <v>224, 202, 137</v>
      </c>
      <c r="K4" s="171" t="str" cm="1">
        <f t="array" ref="K4">hsl_to_rgb(_xlfn.TEXTJOIN(", ",TRUE,$F4,$G4,K$2))</f>
        <v>101, 82, 27</v>
      </c>
      <c r="L4" s="172" t="str" cm="1">
        <f t="array" ref="L4">hsl_to_rgb(_xlfn.TEXTJOIN(", ",TRUE,$F4,$G4,L$2))</f>
        <v>228, 210, 154</v>
      </c>
      <c r="O4" s="576" cm="1">
        <f t="array" ref="O4">rgb_to_long(J4)</f>
        <v>9030368</v>
      </c>
      <c r="P4" s="581" t="e" cm="1">
        <f t="array" aca="1" ref="P4" ca="1">long_to_rgb(colored_contrast_text(O4))</f>
        <v>#VALUE!</v>
      </c>
    </row>
    <row r="5" spans="1:16" x14ac:dyDescent="0.25">
      <c r="A5" t="s">
        <v>205</v>
      </c>
      <c r="B5" s="5">
        <v>6269045</v>
      </c>
      <c r="C5" s="9" t="s">
        <v>206</v>
      </c>
      <c r="D5" s="9" t="s">
        <v>207</v>
      </c>
      <c r="F5" s="7" cm="1">
        <f t="array" ref="F5:H5">rgb_to_hsl(C5)</f>
        <v>101.91780821917808</v>
      </c>
      <c r="G5" s="7">
        <v>43.452380952380949</v>
      </c>
      <c r="H5" s="7">
        <v>51.568627450980387</v>
      </c>
      <c r="J5" s="173" t="str" cm="1">
        <f t="array" ref="J5">hsl_to_rgb(_xlfn.TEXTJOIN(", ",TRUE,$F5,$G5,$H5))</f>
        <v>110, 185, 78</v>
      </c>
      <c r="K5" s="174" t="str" cm="1">
        <f t="array" ref="K5">hsl_to_rgb(_xlfn.TEXTJOIN(", ",TRUE,$F5,$G5,K$2))</f>
        <v>53, 91, 36</v>
      </c>
      <c r="L5" s="175" t="str" cm="1">
        <f t="array" ref="L5">hsl_to_rgb(_xlfn.TEXTJOIN(", ",TRUE,$F5,$G5,L$2))</f>
        <v>180, 219, 164</v>
      </c>
      <c r="O5" s="577" cm="1">
        <f t="array" ref="O5">rgb_to_long(J5)</f>
        <v>5159278</v>
      </c>
      <c r="P5" s="582" t="e" cm="1">
        <f t="array" aca="1" ref="P5" ca="1">long_to_rgb(colored_contrast_text(O5))</f>
        <v>#VALUE!</v>
      </c>
    </row>
    <row r="6" spans="1:16" x14ac:dyDescent="0.25">
      <c r="A6" t="s">
        <v>208</v>
      </c>
      <c r="B6" s="5">
        <v>16689262</v>
      </c>
      <c r="C6" s="10" t="s">
        <v>209</v>
      </c>
      <c r="D6" s="10" t="s">
        <v>210</v>
      </c>
      <c r="F6" s="7" cm="1">
        <f t="array" ref="F6:H6">rgb_to_hsl(C6)</f>
        <v>215.83333333333334</v>
      </c>
      <c r="G6" s="7">
        <v>56.69291338582677</v>
      </c>
      <c r="H6" s="7">
        <v>71.372549019607845</v>
      </c>
      <c r="J6" s="176" t="str" cm="1">
        <f t="array" ref="J6">hsl_to_rgb(_xlfn.TEXTJOIN(", ",TRUE,$F6,$G6,$H6))</f>
        <v>141, 174, 223</v>
      </c>
      <c r="K6" s="177" t="str" cm="1">
        <f t="array" ref="K6">hsl_to_rgb(_xlfn.TEXTJOIN(", ",TRUE,$F6,$G6,K$2))</f>
        <v>28, 57, 100</v>
      </c>
      <c r="L6" s="178" t="str" cm="1">
        <f t="array" ref="L6">hsl_to_rgb(_xlfn.TEXTJOIN(", ",TRUE,$F6,$G6,L$2))</f>
        <v>155, 184, 227</v>
      </c>
      <c r="O6" s="578" cm="1">
        <f t="array" ref="O6">rgb_to_long(J6)</f>
        <v>14659213</v>
      </c>
      <c r="P6" s="583" t="e" cm="1">
        <f t="array" aca="1" ref="P6" ca="1">long_to_rgb(colored_contrast_text(O6))</f>
        <v>#VALUE!</v>
      </c>
    </row>
    <row r="7" spans="1:16" x14ac:dyDescent="0.25">
      <c r="A7" t="s">
        <v>211</v>
      </c>
      <c r="B7" s="5">
        <v>11644071</v>
      </c>
      <c r="C7" s="11" t="s">
        <v>212</v>
      </c>
      <c r="D7" s="11" t="s">
        <v>213</v>
      </c>
      <c r="F7" s="7" cm="1">
        <f t="array" ref="F7:H7">rgb_to_hsl(C7)</f>
        <v>209.99999999999991</v>
      </c>
      <c r="G7" s="7">
        <v>5.6497175141242897</v>
      </c>
      <c r="H7" s="7">
        <v>67.450980392156865</v>
      </c>
      <c r="J7" s="179" t="str" cm="1">
        <f t="array" ref="J7">hsl_to_rgb(_xlfn.TEXTJOIN(", ",TRUE,$F7,$G7,$H7))</f>
        <v>167, 172, 177</v>
      </c>
      <c r="K7" s="180" t="str" cm="1">
        <f t="array" ref="K7">hsl_to_rgb(_xlfn.TEXTJOIN(", ",TRUE,$F7,$G7,K$2))</f>
        <v>60, 64, 67</v>
      </c>
      <c r="L7" s="181" t="str" cm="1">
        <f t="array" ref="L7">hsl_to_rgb(_xlfn.TEXTJOIN(", ",TRUE,$F7,$G7,L$2))</f>
        <v>188, 191, 195</v>
      </c>
      <c r="O7" s="579" cm="1">
        <f t="array" ref="O7">rgb_to_long(J7)</f>
        <v>11644071</v>
      </c>
      <c r="P7" s="584" t="e" cm="1">
        <f t="array" aca="1" ref="P7" ca="1">long_to_rgb(colored_contrast_text(O7))</f>
        <v>#VALUE!</v>
      </c>
    </row>
    <row r="8" spans="1:16" x14ac:dyDescent="0.25">
      <c r="B8" s="5"/>
      <c r="F8" s="7" t="e" cm="1">
        <f t="array" ref="F8">rgb_to_hsl(C8)</f>
        <v>#VALUE!</v>
      </c>
      <c r="G8" s="7"/>
      <c r="H8" s="7"/>
      <c r="J8" s="5"/>
    </row>
    <row r="9" spans="1:16" x14ac:dyDescent="0.25">
      <c r="A9" t="s">
        <v>214</v>
      </c>
      <c r="B9" s="5">
        <v>14342136</v>
      </c>
      <c r="C9" s="12" t="s">
        <v>215</v>
      </c>
      <c r="D9" s="12" t="s">
        <v>216</v>
      </c>
      <c r="F9" s="7" cm="1">
        <f t="array" ref="F9:H9">rgb_to_hsl(C9)</f>
        <v>354.54545454545456</v>
      </c>
      <c r="G9" s="7">
        <v>13.306451612903224</v>
      </c>
      <c r="H9" s="7">
        <v>90.784313725490193</v>
      </c>
      <c r="J9" s="182" t="str" cm="1">
        <f t="array" ref="J9">hsl_to_rgb(_xlfn.TEXTJOIN(", ",TRUE,$F9,$G9,$H9))</f>
        <v>235, 228, 229</v>
      </c>
      <c r="K9" s="183" t="str" cm="1">
        <f t="array" ref="K9">hsl_to_rgb(_xlfn.TEXTJOIN(", ",TRUE,$F9,$G9,K$2))</f>
        <v>72, 55, 57</v>
      </c>
      <c r="L9" s="184" t="str" cm="1">
        <f t="array" ref="L9">hsl_to_rgb(_xlfn.TEXTJOIN(", ",TRUE,$F9,$G9,L$2))</f>
        <v>200, 183, 184</v>
      </c>
    </row>
    <row r="10" spans="1:16" x14ac:dyDescent="0.25">
      <c r="A10" t="s">
        <v>217</v>
      </c>
      <c r="B10" s="5">
        <v>13497343</v>
      </c>
      <c r="C10" s="13" t="s">
        <v>218</v>
      </c>
      <c r="D10" s="13" t="s">
        <v>219</v>
      </c>
      <c r="F10" s="7" cm="1">
        <f t="array" ref="F10:H10">rgb_to_hsl(C10)</f>
        <v>45.59999999999998</v>
      </c>
      <c r="G10" s="7">
        <v>19.6078431372549</v>
      </c>
      <c r="H10" s="7">
        <v>90.196078431372555</v>
      </c>
      <c r="J10" s="185" t="str" cm="1">
        <f t="array" ref="J10">hsl_to_rgb(_xlfn.TEXTJOIN(", ",TRUE,$F10,$G10,$H10))</f>
        <v>235, 233, 225</v>
      </c>
      <c r="K10" s="186" t="str" cm="1">
        <f t="array" ref="K10">hsl_to_rgb(_xlfn.TEXTJOIN(", ",TRUE,$F10,$G10,K$2))</f>
        <v>76, 70, 51</v>
      </c>
      <c r="L10" s="187" t="str" cm="1">
        <f t="array" ref="L10">hsl_to_rgb(_xlfn.TEXTJOIN(", ",TRUE,$F10,$G10,L$2))</f>
        <v>204, 198, 179</v>
      </c>
    </row>
    <row r="11" spans="1:16" x14ac:dyDescent="0.25">
      <c r="A11" t="s">
        <v>220</v>
      </c>
      <c r="B11" s="5">
        <v>14542801</v>
      </c>
      <c r="C11" s="14" t="s">
        <v>221</v>
      </c>
      <c r="D11" s="14" t="s">
        <v>222</v>
      </c>
      <c r="F11" s="7" cm="1">
        <f t="array" ref="F11:H11">rgb_to_hsl(C11)</f>
        <v>152.72727272727275</v>
      </c>
      <c r="G11" s="7">
        <v>9.5238095238095255</v>
      </c>
      <c r="H11" s="7">
        <v>86.274509803921575</v>
      </c>
      <c r="J11" s="188" t="str" cm="1">
        <f t="array" ref="J11">hsl_to_rgb(_xlfn.TEXTJOIN(", ",TRUE,$F11,$G11,$H11))</f>
        <v>217, 223, 220</v>
      </c>
      <c r="K11" s="189" t="str" cm="1">
        <f t="array" ref="K11">hsl_to_rgb(_xlfn.TEXTJOIN(", ",TRUE,$F11,$G11,K$2))</f>
        <v>58, 70, 64</v>
      </c>
      <c r="L11" s="190" t="str" cm="1">
        <f t="array" ref="L11">hsl_to_rgb(_xlfn.TEXTJOIN(", ",TRUE,$F11,$G11,L$2))</f>
        <v>185, 197, 192</v>
      </c>
    </row>
    <row r="12" spans="1:16" x14ac:dyDescent="0.25">
      <c r="A12" t="s">
        <v>223</v>
      </c>
      <c r="B12" s="5">
        <v>16769743</v>
      </c>
      <c r="C12" s="15" t="s">
        <v>224</v>
      </c>
      <c r="D12" s="15" t="s">
        <v>225</v>
      </c>
      <c r="F12" s="7" cm="1">
        <f t="array" ref="F12:H12">rgb_to_hsl(C12)</f>
        <v>216.25</v>
      </c>
      <c r="G12" s="7">
        <v>18.823529411764707</v>
      </c>
      <c r="H12" s="7">
        <v>90.588235294117652</v>
      </c>
      <c r="J12" s="191" t="str" cm="1">
        <f t="array" ref="J12">hsl_to_rgb(_xlfn.TEXTJOIN(", ",TRUE,$F12,$G12,$H12))</f>
        <v>226, 230, 236</v>
      </c>
      <c r="K12" s="192" t="str" cm="1">
        <f t="array" ref="K12">hsl_to_rgb(_xlfn.TEXTJOIN(", ",TRUE,$F12,$G12,K$2))</f>
        <v>52, 61, 76</v>
      </c>
      <c r="L12" s="193" t="str" cm="1">
        <f t="array" ref="L12">hsl_to_rgb(_xlfn.TEXTJOIN(", ",TRUE,$F12,$G12,L$2))</f>
        <v>179, 189, 203</v>
      </c>
    </row>
    <row r="13" spans="1:16" x14ac:dyDescent="0.25">
      <c r="A13" t="s">
        <v>226</v>
      </c>
      <c r="B13" s="5">
        <v>15066082</v>
      </c>
      <c r="C13" s="16" t="s">
        <v>227</v>
      </c>
      <c r="D13" s="16" t="s">
        <v>228</v>
      </c>
      <c r="F13" s="7" cm="1">
        <f t="array" ref="F13:H13">rgb_to_hsl(C13)</f>
        <v>220.0000000000002</v>
      </c>
      <c r="G13" s="7">
        <v>1.3100436681222785</v>
      </c>
      <c r="H13" s="7">
        <v>89.215686274509792</v>
      </c>
      <c r="J13" s="194" t="str" cm="1">
        <f t="array" ref="J13">hsl_to_rgb(_xlfn.TEXTJOIN(", ",TRUE,$F13,$G13,$H13))</f>
        <v>227, 227, 228</v>
      </c>
      <c r="K13" s="195" t="str" cm="1">
        <f t="array" ref="K13">hsl_to_rgb(_xlfn.TEXTJOIN(", ",TRUE,$F13,$G13,K$2))</f>
        <v>63, 63, 65</v>
      </c>
      <c r="L13" s="196" t="str" cm="1">
        <f t="array" ref="L13">hsl_to_rgb(_xlfn.TEXTJOIN(", ",TRUE,$F13,$G13,L$2))</f>
        <v>190, 191, 192</v>
      </c>
    </row>
    <row r="14" spans="1:16" x14ac:dyDescent="0.25">
      <c r="B14" s="5"/>
      <c r="F14" s="7" t="e" cm="1">
        <f t="array" ref="F14">rgb_to_hsl(C14)</f>
        <v>#VALUE!</v>
      </c>
      <c r="G14" s="7"/>
      <c r="H14" s="7"/>
      <c r="J14" s="5"/>
    </row>
    <row r="15" spans="1:16" x14ac:dyDescent="0.25">
      <c r="A15" t="s">
        <v>229</v>
      </c>
      <c r="B15" s="5">
        <v>1840472</v>
      </c>
      <c r="C15" s="17" t="s">
        <v>230</v>
      </c>
      <c r="D15" s="17" t="s">
        <v>231</v>
      </c>
      <c r="F15" s="7" cm="1">
        <f t="array" ref="F15:H15">rgb_to_hsl(C15)</f>
        <v>353.73134328358208</v>
      </c>
      <c r="G15" s="7">
        <v>76.13636363636364</v>
      </c>
      <c r="H15" s="7">
        <v>21.372549019607842</v>
      </c>
      <c r="J15" s="197" t="str" cm="1">
        <f t="array" ref="J15">hsl_to_rgb(_xlfn.TEXTJOIN(", ",TRUE,$F15,$G15,$H15))</f>
        <v>96, 13, 22</v>
      </c>
      <c r="K15" s="198" t="str" cm="1">
        <f t="array" ref="K15">hsl_to_rgb(_xlfn.TEXTJOIN(", ",TRUE,$F15,$G15,K$2))</f>
        <v>112, 15, 25</v>
      </c>
      <c r="L15" s="199" t="str" cm="1">
        <f t="array" ref="L15">hsl_to_rgb(_xlfn.TEXTJOIN(", ",TRUE,$F15,$G15,L$2))</f>
        <v>240, 143, 153</v>
      </c>
    </row>
    <row r="16" spans="1:16" x14ac:dyDescent="0.25">
      <c r="A16" t="s">
        <v>232</v>
      </c>
      <c r="B16" s="5">
        <v>216422</v>
      </c>
      <c r="C16" s="18" t="s">
        <v>233</v>
      </c>
      <c r="D16" s="18" t="s">
        <v>234</v>
      </c>
      <c r="F16" s="7" cm="1">
        <f t="array" ref="F16:H16">rgb_to_hsl(C16)</f>
        <v>44.848484848484844</v>
      </c>
      <c r="G16" s="7">
        <v>97.058823529411768</v>
      </c>
      <c r="H16" s="7">
        <v>20.588235294117649</v>
      </c>
      <c r="J16" s="200" t="str" cm="1">
        <f t="array" ref="J16">hsl_to_rgb(_xlfn.TEXTJOIN(", ",TRUE,$F16,$G16,$H16))</f>
        <v>103, 78, 2</v>
      </c>
      <c r="K16" s="201" t="str" cm="1">
        <f t="array" ref="K16">hsl_to_rgb(_xlfn.TEXTJOIN(", ",TRUE,$F16,$G16,K$2))</f>
        <v>126, 94, 2</v>
      </c>
      <c r="L16" s="202" t="str" cm="1">
        <f t="array" ref="L16">hsl_to_rgb(_xlfn.TEXTJOIN(", ",TRUE,$F16,$G16,L$2))</f>
        <v>253, 222, 129</v>
      </c>
    </row>
    <row r="17" spans="1:12" x14ac:dyDescent="0.25">
      <c r="A17" t="s">
        <v>235</v>
      </c>
      <c r="B17" s="5">
        <v>2242058</v>
      </c>
      <c r="C17" s="19" t="s">
        <v>236</v>
      </c>
      <c r="D17" s="19" t="s">
        <v>237</v>
      </c>
      <c r="F17" s="7" cm="1">
        <f t="array" ref="F17:H17">rgb_to_hsl(C17)</f>
        <v>152.72727272727272</v>
      </c>
      <c r="G17" s="7">
        <v>81.481481481481481</v>
      </c>
      <c r="H17" s="7">
        <v>12.549019607843137</v>
      </c>
      <c r="J17" s="203" t="str" cm="1">
        <f t="array" ref="J17">hsl_to_rgb(_xlfn.TEXTJOIN(", ",TRUE,$F17,$G17,$H17))</f>
        <v>6, 58, 34</v>
      </c>
      <c r="K17" s="204" t="str" cm="1">
        <f t="array" ref="K17">hsl_to_rgb(_xlfn.TEXTJOIN(", ",TRUE,$F17,$G17,K$2))</f>
        <v>12, 116, 68</v>
      </c>
      <c r="L17" s="205" t="str" cm="1">
        <f t="array" ref="L17">hsl_to_rgb(_xlfn.TEXTJOIN(", ",TRUE,$F17,$G17,L$2))</f>
        <v>139, 243, 196</v>
      </c>
    </row>
    <row r="18" spans="1:12" x14ac:dyDescent="0.25">
      <c r="A18" t="s">
        <v>238</v>
      </c>
      <c r="B18" s="5">
        <v>6630405</v>
      </c>
      <c r="C18" s="20" t="s">
        <v>239</v>
      </c>
      <c r="D18" s="20" t="s">
        <v>240</v>
      </c>
      <c r="F18" s="7" cm="1">
        <f t="array" ref="F18:H18">rgb_to_hsl(C18)</f>
        <v>215.625</v>
      </c>
      <c r="G18" s="7">
        <v>95.049504950495063</v>
      </c>
      <c r="H18" s="7">
        <v>20.784313725490193</v>
      </c>
      <c r="J18" s="206" t="str" cm="1">
        <f t="array" ref="J18">hsl_to_rgb(_xlfn.TEXTJOIN(", ",TRUE,$F18,$G18,$H18))</f>
        <v>3, 44, 103</v>
      </c>
      <c r="K18" s="207" t="str" cm="1">
        <f t="array" ref="K18">hsl_to_rgb(_xlfn.TEXTJOIN(", ",TRUE,$F18,$G18,K$2))</f>
        <v>3, 52, 124</v>
      </c>
      <c r="L18" s="208" t="str" cm="1">
        <f t="array" ref="L18">hsl_to_rgb(_xlfn.TEXTJOIN(", ",TRUE,$F18,$G18,L$2))</f>
        <v>131, 180, 252</v>
      </c>
    </row>
    <row r="19" spans="1:12" x14ac:dyDescent="0.25">
      <c r="A19" t="s">
        <v>241</v>
      </c>
      <c r="B19" s="5">
        <v>3288875</v>
      </c>
      <c r="C19" s="21" t="s">
        <v>242</v>
      </c>
      <c r="D19" s="21" t="s">
        <v>243</v>
      </c>
      <c r="F19" s="7" cm="1">
        <f t="array" ref="F19:H19">rgb_to_hsl(C19)</f>
        <v>205.71428571428569</v>
      </c>
      <c r="G19" s="7">
        <v>13.999999999999993</v>
      </c>
      <c r="H19" s="7">
        <v>18.235294117647062</v>
      </c>
      <c r="J19" s="209" t="str" cm="1">
        <f t="array" ref="J19">hsl_to_rgb(_xlfn.TEXTJOIN(", ",TRUE,$F19,$G19,$H19))</f>
        <v>40, 47, 53</v>
      </c>
      <c r="K19" s="210" t="str" cm="1">
        <f t="array" ref="K19">hsl_to_rgb(_xlfn.TEXTJOIN(", ",TRUE,$F19,$G19,K$2))</f>
        <v>55, 65, 73</v>
      </c>
      <c r="L19" s="211" t="str" cm="1">
        <f t="array" ref="L19">hsl_to_rgb(_xlfn.TEXTJOIN(", ",TRUE,$F19,$G19,L$2))</f>
        <v>182, 193, 200</v>
      </c>
    </row>
    <row r="20" spans="1:12" x14ac:dyDescent="0.25">
      <c r="B20" s="5"/>
      <c r="F20" s="7" t="e" cm="1">
        <f t="array" ref="F20">rgb_to_hsl(C20)</f>
        <v>#VALUE!</v>
      </c>
      <c r="G20" s="7"/>
      <c r="H20" s="7"/>
      <c r="J20" s="5"/>
    </row>
    <row r="21" spans="1:12" x14ac:dyDescent="0.25">
      <c r="A21" t="s">
        <v>244</v>
      </c>
      <c r="B21" s="5">
        <v>919084</v>
      </c>
      <c r="C21" s="22" t="s">
        <v>245</v>
      </c>
      <c r="D21" s="22" t="s">
        <v>246</v>
      </c>
      <c r="F21" s="7" cm="1">
        <f t="array" ref="F21:H21">rgb_to_hsl(C21)</f>
        <v>347.36842105263156</v>
      </c>
      <c r="G21" s="7">
        <v>86.36363636363636</v>
      </c>
      <c r="H21" s="7">
        <v>9.8039215686274517</v>
      </c>
      <c r="J21" s="212" t="str" cm="1">
        <f t="array" ref="J21">hsl_to_rgb(_xlfn.TEXTJOIN(", ",TRUE,$F21,$G21,$H21))</f>
        <v>47, 3, 12</v>
      </c>
      <c r="K21" s="213" t="str" cm="1">
        <f t="array" ref="K21">hsl_to_rgb(_xlfn.TEXTJOIN(", ",TRUE,$F21,$G21,K$2))</f>
        <v>119, 9, 32</v>
      </c>
      <c r="L21" s="214" t="str" cm="1">
        <f t="array" ref="L21">hsl_to_rgb(_xlfn.TEXTJOIN(", ",TRUE,$F21,$G21,L$2))</f>
        <v>246, 136, 159</v>
      </c>
    </row>
    <row r="22" spans="1:12" x14ac:dyDescent="0.25">
      <c r="A22" t="s">
        <v>247</v>
      </c>
      <c r="B22" s="5">
        <v>75571</v>
      </c>
      <c r="C22" s="23" t="s">
        <v>248</v>
      </c>
      <c r="D22" s="23" t="s">
        <v>249</v>
      </c>
      <c r="F22" s="7" cm="1">
        <f t="array" ref="F22:H22">rgb_to_hsl(C22)</f>
        <v>45.599999999999994</v>
      </c>
      <c r="G22" s="7">
        <v>98.039215686274517</v>
      </c>
      <c r="H22" s="7">
        <v>10.196078431372548</v>
      </c>
      <c r="J22" s="215" t="str" cm="1">
        <f t="array" ref="J22">hsl_to_rgb(_xlfn.TEXTJOIN(", ",TRUE,$F22,$G22,$H22))</f>
        <v>51, 39, 1</v>
      </c>
      <c r="K22" s="216" t="str" cm="1">
        <f t="array" ref="K22">hsl_to_rgb(_xlfn.TEXTJOIN(", ",TRUE,$F22,$G22,K$2))</f>
        <v>126, 96, 1</v>
      </c>
      <c r="L22" s="217" t="str" cm="1">
        <f t="array" ref="L22">hsl_to_rgb(_xlfn.TEXTJOIN(", ",TRUE,$F22,$G22,L$2))</f>
        <v>254, 224, 129</v>
      </c>
    </row>
    <row r="23" spans="1:12" x14ac:dyDescent="0.25">
      <c r="A23" t="s">
        <v>250</v>
      </c>
      <c r="B23" s="5">
        <v>1121029</v>
      </c>
      <c r="C23" s="24" t="s">
        <v>251</v>
      </c>
      <c r="D23" s="24" t="s">
        <v>252</v>
      </c>
      <c r="F23" s="7" cm="1">
        <f t="array" ref="F23:H23">rgb_to_hsl(C23)</f>
        <v>152.72727272727272</v>
      </c>
      <c r="G23" s="7">
        <v>81.481481481481481</v>
      </c>
      <c r="H23" s="7">
        <v>6.2745098039215685</v>
      </c>
      <c r="J23" s="218" t="str" cm="1">
        <f t="array" ref="J23">hsl_to_rgb(_xlfn.TEXTJOIN(", ",TRUE,$F23,$G23,$H23))</f>
        <v>3, 29, 17</v>
      </c>
      <c r="K23" s="204" t="str" cm="1">
        <f t="array" ref="K23">hsl_to_rgb(_xlfn.TEXTJOIN(", ",TRUE,$F23,$G23,K$2))</f>
        <v>12, 116, 68</v>
      </c>
      <c r="L23" s="205" t="str" cm="1">
        <f t="array" ref="L23">hsl_to_rgb(_xlfn.TEXTJOIN(", ",TRUE,$F23,$G23,L$2))</f>
        <v>139, 243, 196</v>
      </c>
    </row>
    <row r="24" spans="1:12" x14ac:dyDescent="0.25">
      <c r="A24" t="s">
        <v>253</v>
      </c>
      <c r="B24" s="5">
        <v>3349251</v>
      </c>
      <c r="C24" s="25" t="s">
        <v>254</v>
      </c>
      <c r="D24" s="25" t="s">
        <v>255</v>
      </c>
      <c r="F24" s="7" cm="1">
        <f t="array" ref="F24:H24">rgb_to_hsl(C24)</f>
        <v>210</v>
      </c>
      <c r="G24" s="7">
        <v>94.117647058823522</v>
      </c>
      <c r="H24" s="7">
        <v>10.588235294117649</v>
      </c>
      <c r="J24" s="219" t="str" cm="1">
        <f t="array" ref="J24">hsl_to_rgb(_xlfn.TEXTJOIN(", ",TRUE,$F24,$G24,$H24))</f>
        <v>2, 27, 52</v>
      </c>
      <c r="K24" s="220" t="str" cm="1">
        <f t="array" ref="K24">hsl_to_rgb(_xlfn.TEXTJOIN(", ",TRUE,$F24,$G24,K$2))</f>
        <v>4, 64, 124</v>
      </c>
      <c r="L24" s="221" t="str" cm="1">
        <f t="array" ref="L24">hsl_to_rgb(_xlfn.TEXTJOIN(", ",TRUE,$F24,$G24,L$2))</f>
        <v>131, 191, 251</v>
      </c>
    </row>
    <row r="25" spans="1:12" x14ac:dyDescent="0.25">
      <c r="A25" t="s">
        <v>256</v>
      </c>
      <c r="B25" s="5">
        <v>1644310</v>
      </c>
      <c r="C25" s="26" t="s">
        <v>257</v>
      </c>
      <c r="D25" s="26" t="s">
        <v>258</v>
      </c>
      <c r="F25" s="7" cm="1">
        <f t="array" ref="F25:H25">rgb_to_hsl(C25)</f>
        <v>220</v>
      </c>
      <c r="G25" s="7">
        <v>12</v>
      </c>
      <c r="H25" s="7">
        <v>9.2156862745098049</v>
      </c>
      <c r="J25" s="222" t="str" cm="1">
        <f t="array" ref="J25">hsl_to_rgb(_xlfn.TEXTJOIN(", ",TRUE,$F25,$G25,$H25))</f>
        <v>21, 23, 26</v>
      </c>
      <c r="K25" s="223" t="str" cm="1">
        <f t="array" ref="K25">hsl_to_rgb(_xlfn.TEXTJOIN(", ",TRUE,$F25,$G25,K$2))</f>
        <v>56, 61, 71</v>
      </c>
      <c r="L25" s="224" t="str" cm="1">
        <f t="array" ref="L25">hsl_to_rgb(_xlfn.TEXTJOIN(", ",TRUE,$F25,$G25,L$2))</f>
        <v>184, 189, 199</v>
      </c>
    </row>
    <row r="26" spans="1:12" x14ac:dyDescent="0.25">
      <c r="B26" s="5"/>
      <c r="F26" s="7" t="e" cm="1">
        <f t="array" ref="F26">rgb_to_hsl(C26)</f>
        <v>#VALUE!</v>
      </c>
      <c r="G26" s="7"/>
      <c r="H26" s="7"/>
      <c r="J26" s="5"/>
    </row>
    <row r="27" spans="1:12" ht="18" x14ac:dyDescent="0.25">
      <c r="A27" s="27" t="s">
        <v>259</v>
      </c>
      <c r="B27" s="5"/>
      <c r="F27" s="7" t="e" cm="1">
        <f t="array" ref="F27">rgb_to_hsl(C27)</f>
        <v>#VALUE!</v>
      </c>
      <c r="G27" s="7"/>
      <c r="H27" s="7"/>
      <c r="J27" s="5"/>
    </row>
    <row r="28" spans="1:12" x14ac:dyDescent="0.25">
      <c r="A28" t="s">
        <v>260</v>
      </c>
      <c r="B28" s="5">
        <v>0</v>
      </c>
      <c r="C28" s="28" t="s">
        <v>261</v>
      </c>
      <c r="D28" s="28" t="s">
        <v>262</v>
      </c>
      <c r="F28" s="7" cm="1">
        <f t="array" ref="F28:H28">rgb_to_hsl(C28)</f>
        <v>0</v>
      </c>
      <c r="G28" s="7">
        <v>0</v>
      </c>
      <c r="H28" s="7">
        <v>0</v>
      </c>
      <c r="J28" s="225" t="str" cm="1">
        <f t="array" ref="J28">hsl_to_rgb(_xlfn.TEXTJOIN(", ",TRUE,$F28,$G28,$H28))</f>
        <v>0, 0, 0</v>
      </c>
      <c r="K28" s="226" t="str" cm="1">
        <f t="array" ref="K28">hsl_to_rgb(_xlfn.TEXTJOIN(", ",TRUE,$F28,$G28,K$2))</f>
        <v>64, 64, 64</v>
      </c>
      <c r="L28" s="227" t="str" cm="1">
        <f t="array" ref="L28">hsl_to_rgb(_xlfn.TEXTJOIN(", ",TRUE,$F28,$G28,L$2))</f>
        <v>191, 191, 191</v>
      </c>
    </row>
    <row r="29" spans="1:12" x14ac:dyDescent="0.25">
      <c r="A29" t="s">
        <v>263</v>
      </c>
      <c r="B29" s="5">
        <v>6908265</v>
      </c>
      <c r="C29" s="29" t="s">
        <v>264</v>
      </c>
      <c r="D29" s="29" t="s">
        <v>265</v>
      </c>
      <c r="F29" s="7" cm="1">
        <f t="array" ref="F29:H29">rgb_to_hsl(C29)</f>
        <v>0</v>
      </c>
      <c r="G29" s="7">
        <v>0</v>
      </c>
      <c r="H29" s="7">
        <v>41.17647058823529</v>
      </c>
      <c r="J29" s="228" t="str" cm="1">
        <f t="array" ref="J29">hsl_to_rgb(_xlfn.TEXTJOIN(", ",TRUE,$F29,$G29,$H29))</f>
        <v>105, 105, 105</v>
      </c>
      <c r="K29" s="226" t="str" cm="1">
        <f t="array" ref="K29">hsl_to_rgb(_xlfn.TEXTJOIN(", ",TRUE,$F29,$G29,K$2))</f>
        <v>64, 64, 64</v>
      </c>
      <c r="L29" s="227" t="str" cm="1">
        <f t="array" ref="L29">hsl_to_rgb(_xlfn.TEXTJOIN(", ",TRUE,$F29,$G29,L$2))</f>
        <v>191, 191, 191</v>
      </c>
    </row>
    <row r="30" spans="1:12" x14ac:dyDescent="0.25">
      <c r="A30" t="s">
        <v>266</v>
      </c>
      <c r="B30" s="5">
        <v>8421504</v>
      </c>
      <c r="C30" s="30" t="s">
        <v>267</v>
      </c>
      <c r="D30" s="30" t="s">
        <v>268</v>
      </c>
      <c r="F30" s="7" cm="1">
        <f t="array" ref="F30:H30">rgb_to_hsl(C30)</f>
        <v>0</v>
      </c>
      <c r="G30" s="7">
        <v>0</v>
      </c>
      <c r="H30" s="7">
        <v>50.196078431372548</v>
      </c>
      <c r="J30" s="229" t="str" cm="1">
        <f t="array" ref="J30">hsl_to_rgb(_xlfn.TEXTJOIN(", ",TRUE,$F30,$G30,$H30))</f>
        <v>128, 128, 128</v>
      </c>
      <c r="K30" s="226" t="str" cm="1">
        <f t="array" ref="K30">hsl_to_rgb(_xlfn.TEXTJOIN(", ",TRUE,$F30,$G30,K$2))</f>
        <v>64, 64, 64</v>
      </c>
      <c r="L30" s="227" t="str" cm="1">
        <f t="array" ref="L30">hsl_to_rgb(_xlfn.TEXTJOIN(", ",TRUE,$F30,$G30,L$2))</f>
        <v>191, 191, 191</v>
      </c>
    </row>
    <row r="31" spans="1:12" x14ac:dyDescent="0.25">
      <c r="A31" t="s">
        <v>269</v>
      </c>
      <c r="B31" s="5">
        <v>11119017</v>
      </c>
      <c r="C31" s="31" t="s">
        <v>270</v>
      </c>
      <c r="D31" s="31" t="s">
        <v>271</v>
      </c>
      <c r="F31" s="7" cm="1">
        <f t="array" ref="F31:H31">rgb_to_hsl(C31)</f>
        <v>0</v>
      </c>
      <c r="G31" s="7">
        <v>0</v>
      </c>
      <c r="H31" s="7">
        <v>66.274509803921561</v>
      </c>
      <c r="J31" s="230" t="str" cm="1">
        <f t="array" ref="J31">hsl_to_rgb(_xlfn.TEXTJOIN(", ",TRUE,$F31,$G31,$H31))</f>
        <v>169, 169, 169</v>
      </c>
      <c r="K31" s="226" t="str" cm="1">
        <f t="array" ref="K31">hsl_to_rgb(_xlfn.TEXTJOIN(", ",TRUE,$F31,$G31,K$2))</f>
        <v>64, 64, 64</v>
      </c>
      <c r="L31" s="227" t="str" cm="1">
        <f t="array" ref="L31">hsl_to_rgb(_xlfn.TEXTJOIN(", ",TRUE,$F31,$G31,L$2))</f>
        <v>191, 191, 191</v>
      </c>
    </row>
    <row r="32" spans="1:12" x14ac:dyDescent="0.25">
      <c r="A32" t="s">
        <v>272</v>
      </c>
      <c r="B32" s="5">
        <v>12632256</v>
      </c>
      <c r="C32" s="32" t="s">
        <v>273</v>
      </c>
      <c r="D32" s="32" t="s">
        <v>274</v>
      </c>
      <c r="F32" s="7" cm="1">
        <f t="array" ref="F32:H32">rgb_to_hsl(C32)</f>
        <v>0</v>
      </c>
      <c r="G32" s="7">
        <v>0</v>
      </c>
      <c r="H32" s="7">
        <v>75.294117647058826</v>
      </c>
      <c r="J32" s="231" t="str" cm="1">
        <f t="array" ref="J32">hsl_to_rgb(_xlfn.TEXTJOIN(", ",TRUE,$F32,$G32,$H32))</f>
        <v>192, 192, 192</v>
      </c>
      <c r="K32" s="226" t="str" cm="1">
        <f t="array" ref="K32">hsl_to_rgb(_xlfn.TEXTJOIN(", ",TRUE,$F32,$G32,K$2))</f>
        <v>64, 64, 64</v>
      </c>
      <c r="L32" s="227" t="str" cm="1">
        <f t="array" ref="L32">hsl_to_rgb(_xlfn.TEXTJOIN(", ",TRUE,$F32,$G32,L$2))</f>
        <v>191, 191, 191</v>
      </c>
    </row>
    <row r="33" spans="1:12" x14ac:dyDescent="0.25">
      <c r="A33" t="s">
        <v>275</v>
      </c>
      <c r="B33" s="5">
        <v>13882323</v>
      </c>
      <c r="C33" s="33" t="s">
        <v>276</v>
      </c>
      <c r="D33" s="33" t="s">
        <v>277</v>
      </c>
      <c r="F33" s="7" cm="1">
        <f t="array" ref="F33:H33">rgb_to_hsl(C33)</f>
        <v>0</v>
      </c>
      <c r="G33" s="7">
        <v>0</v>
      </c>
      <c r="H33" s="7">
        <v>82.745098039215677</v>
      </c>
      <c r="J33" s="232" t="str" cm="1">
        <f t="array" ref="J33">hsl_to_rgb(_xlfn.TEXTJOIN(", ",TRUE,$F33,$G33,$H33))</f>
        <v>211, 211, 211</v>
      </c>
      <c r="K33" s="226" t="str" cm="1">
        <f t="array" ref="K33">hsl_to_rgb(_xlfn.TEXTJOIN(", ",TRUE,$F33,$G33,K$2))</f>
        <v>64, 64, 64</v>
      </c>
      <c r="L33" s="227" t="str" cm="1">
        <f t="array" ref="L33">hsl_to_rgb(_xlfn.TEXTJOIN(", ",TRUE,$F33,$G33,L$2))</f>
        <v>191, 191, 191</v>
      </c>
    </row>
    <row r="34" spans="1:12" x14ac:dyDescent="0.25">
      <c r="A34" t="s">
        <v>278</v>
      </c>
      <c r="B34" s="5">
        <v>14474460</v>
      </c>
      <c r="C34" s="34" t="s">
        <v>279</v>
      </c>
      <c r="D34" s="34" t="s">
        <v>280</v>
      </c>
      <c r="F34" s="7" cm="1">
        <f t="array" ref="F34:H34">rgb_to_hsl(C34)</f>
        <v>0</v>
      </c>
      <c r="G34" s="7">
        <v>0</v>
      </c>
      <c r="H34" s="7">
        <v>86.274509803921575</v>
      </c>
      <c r="J34" s="233" t="str" cm="1">
        <f t="array" ref="J34">hsl_to_rgb(_xlfn.TEXTJOIN(", ",TRUE,$F34,$G34,$H34))</f>
        <v>220, 220, 220</v>
      </c>
      <c r="K34" s="226" t="str" cm="1">
        <f t="array" ref="K34">hsl_to_rgb(_xlfn.TEXTJOIN(", ",TRUE,$F34,$G34,K$2))</f>
        <v>64, 64, 64</v>
      </c>
      <c r="L34" s="227" t="str" cm="1">
        <f t="array" ref="L34">hsl_to_rgb(_xlfn.TEXTJOIN(", ",TRUE,$F34,$G34,L$2))</f>
        <v>191, 191, 191</v>
      </c>
    </row>
    <row r="35" spans="1:12" x14ac:dyDescent="0.25">
      <c r="A35" t="s">
        <v>281</v>
      </c>
      <c r="B35" s="5">
        <v>16119285</v>
      </c>
      <c r="C35" s="35" t="s">
        <v>282</v>
      </c>
      <c r="D35" s="35" t="s">
        <v>283</v>
      </c>
      <c r="F35" s="7" cm="1">
        <f t="array" ref="F35:H35">rgb_to_hsl(C35)</f>
        <v>0</v>
      </c>
      <c r="G35" s="7">
        <v>0</v>
      </c>
      <c r="H35" s="7">
        <v>96.078431372549019</v>
      </c>
      <c r="J35" s="234" t="str" cm="1">
        <f t="array" ref="J35">hsl_to_rgb(_xlfn.TEXTJOIN(", ",TRUE,$F35,$G35,$H35))</f>
        <v>245, 245, 245</v>
      </c>
      <c r="K35" s="226" t="str" cm="1">
        <f t="array" ref="K35">hsl_to_rgb(_xlfn.TEXTJOIN(", ",TRUE,$F35,$G35,K$2))</f>
        <v>64, 64, 64</v>
      </c>
      <c r="L35" s="227" t="str" cm="1">
        <f t="array" ref="L35">hsl_to_rgb(_xlfn.TEXTJOIN(", ",TRUE,$F35,$G35,L$2))</f>
        <v>191, 191, 191</v>
      </c>
    </row>
    <row r="36" spans="1:12" x14ac:dyDescent="0.25">
      <c r="A36" t="s">
        <v>284</v>
      </c>
      <c r="B36" s="5">
        <v>16777215</v>
      </c>
      <c r="C36" s="36" t="s">
        <v>285</v>
      </c>
      <c r="D36" s="36" t="s">
        <v>286</v>
      </c>
      <c r="F36" s="7" cm="1">
        <f t="array" ref="F36:H36">rgb_to_hsl(C36)</f>
        <v>0</v>
      </c>
      <c r="G36" s="7">
        <v>0</v>
      </c>
      <c r="H36" s="7">
        <v>100</v>
      </c>
      <c r="J36" s="235" t="str" cm="1">
        <f t="array" ref="J36">hsl_to_rgb(_xlfn.TEXTJOIN(", ",TRUE,$F36,$G36,$H36))</f>
        <v>255, 255, 255</v>
      </c>
      <c r="K36" s="226" t="str" cm="1">
        <f t="array" ref="K36">hsl_to_rgb(_xlfn.TEXTJOIN(", ",TRUE,$F36,$G36,K$2))</f>
        <v>64, 64, 64</v>
      </c>
      <c r="L36" s="227" t="str" cm="1">
        <f t="array" ref="L36">hsl_to_rgb(_xlfn.TEXTJOIN(", ",TRUE,$F36,$G36,L$2))</f>
        <v>191, 191, 191</v>
      </c>
    </row>
    <row r="37" spans="1:12" x14ac:dyDescent="0.25">
      <c r="A37" t="s">
        <v>287</v>
      </c>
      <c r="B37" s="5">
        <v>16448255</v>
      </c>
      <c r="C37" s="37" t="s">
        <v>288</v>
      </c>
      <c r="D37" s="37" t="s">
        <v>289</v>
      </c>
      <c r="F37" s="7" cm="1">
        <f t="array" ref="F37:H37">rgb_to_hsl(C37)</f>
        <v>0</v>
      </c>
      <c r="G37" s="7">
        <v>1.9607843137254943</v>
      </c>
      <c r="H37" s="7">
        <v>99.019607843137265</v>
      </c>
      <c r="J37" s="236" t="str" cm="1">
        <f t="array" ref="J37">hsl_to_rgb(_xlfn.TEXTJOIN(", ",TRUE,$F37,$G37,$H37))</f>
        <v>253, 252, 252</v>
      </c>
      <c r="K37" s="237" t="str" cm="1">
        <f t="array" ref="K37">hsl_to_rgb(_xlfn.TEXTJOIN(", ",TRUE,$F37,$G37,K$2))</f>
        <v>65, 62, 62</v>
      </c>
      <c r="L37" s="238" t="str" cm="1">
        <f t="array" ref="L37">hsl_to_rgb(_xlfn.TEXTJOIN(", ",TRUE,$F37,$G37,L$2))</f>
        <v>192, 190, 190</v>
      </c>
    </row>
    <row r="38" spans="1:12" x14ac:dyDescent="0.25">
      <c r="A38" t="s">
        <v>290</v>
      </c>
      <c r="B38" s="5">
        <v>9408444</v>
      </c>
      <c r="C38" s="38" t="s">
        <v>291</v>
      </c>
      <c r="D38" s="38" t="s">
        <v>292</v>
      </c>
      <c r="F38" s="7" cm="1">
        <f t="array" ref="F38:H38">rgb_to_hsl(C38)</f>
        <v>0</v>
      </c>
      <c r="G38" s="7">
        <v>23.936170212765962</v>
      </c>
      <c r="H38" s="7">
        <v>64.901960784313729</v>
      </c>
      <c r="J38" s="239" t="str" cm="1">
        <f t="array" ref="J38">hsl_to_rgb(_xlfn.TEXTJOIN(", ",TRUE,$F38,$G38,$H38))</f>
        <v>187, 144, 144</v>
      </c>
      <c r="K38" s="240" t="str" cm="1">
        <f t="array" ref="K38">hsl_to_rgb(_xlfn.TEXTJOIN(", ",TRUE,$F38,$G38,K$2))</f>
        <v>79, 48, 48</v>
      </c>
      <c r="L38" s="241" t="str" cm="1">
        <f t="array" ref="L38">hsl_to_rgb(_xlfn.TEXTJOIN(", ",TRUE,$F38,$G38,L$2))</f>
        <v>207, 176, 176</v>
      </c>
    </row>
    <row r="39" spans="1:12" x14ac:dyDescent="0.25">
      <c r="A39" t="s">
        <v>293</v>
      </c>
      <c r="B39" s="5">
        <v>8421616</v>
      </c>
      <c r="C39" s="39" t="s">
        <v>294</v>
      </c>
      <c r="D39" s="39" t="s">
        <v>295</v>
      </c>
      <c r="F39" s="7" cm="1">
        <f t="array" ref="F39:H39">rgb_to_hsl(C39)</f>
        <v>0</v>
      </c>
      <c r="G39" s="7">
        <v>46.666666666666664</v>
      </c>
      <c r="H39" s="7">
        <v>72.156862745098039</v>
      </c>
      <c r="J39" s="242" t="str" cm="1">
        <f t="array" ref="J39">hsl_to_rgb(_xlfn.TEXTJOIN(", ",TRUE,$F39,$G39,$H39))</f>
        <v>217, 151, 151</v>
      </c>
      <c r="K39" s="243" t="str" cm="1">
        <f t="array" ref="K39">hsl_to_rgb(_xlfn.TEXTJOIN(", ",TRUE,$F39,$G39,K$2))</f>
        <v>94, 34, 34</v>
      </c>
      <c r="L39" s="244" t="str" cm="1">
        <f t="array" ref="L39">hsl_to_rgb(_xlfn.TEXTJOIN(", ",TRUE,$F39,$G39,L$2))</f>
        <v>221, 162, 162</v>
      </c>
    </row>
    <row r="40" spans="1:12" x14ac:dyDescent="0.25">
      <c r="A40" t="s">
        <v>296</v>
      </c>
      <c r="B40" s="5">
        <v>6053069</v>
      </c>
      <c r="C40" s="40" t="s">
        <v>297</v>
      </c>
      <c r="D40" s="40" t="s">
        <v>298</v>
      </c>
      <c r="F40" s="7" cm="1">
        <f t="array" ref="F40:H40">rgb_to_hsl(C40)</f>
        <v>0</v>
      </c>
      <c r="G40" s="7">
        <v>55.121951219512198</v>
      </c>
      <c r="H40" s="7">
        <v>58.235294117647065</v>
      </c>
      <c r="J40" s="245" t="str" cm="1">
        <f t="array" ref="J40">hsl_to_rgb(_xlfn.TEXTJOIN(", ",TRUE,$F40,$G40,$H40))</f>
        <v>207, 90, 90</v>
      </c>
      <c r="K40" s="246" t="str" cm="1">
        <f t="array" ref="K40">hsl_to_rgb(_xlfn.TEXTJOIN(", ",TRUE,$F40,$G40,K$2))</f>
        <v>99, 29, 29</v>
      </c>
      <c r="L40" s="247" t="str" cm="1">
        <f t="array" ref="L40">hsl_to_rgb(_xlfn.TEXTJOIN(", ",TRUE,$F40,$G40,L$2))</f>
        <v>226, 156, 156</v>
      </c>
    </row>
    <row r="41" spans="1:12" x14ac:dyDescent="0.25">
      <c r="A41" t="s">
        <v>299</v>
      </c>
      <c r="B41" s="5">
        <v>2763429</v>
      </c>
      <c r="C41" s="41" t="s">
        <v>300</v>
      </c>
      <c r="D41" s="41" t="s">
        <v>301</v>
      </c>
      <c r="F41" s="7" cm="1">
        <f t="array" ref="F41:H41">rgb_to_hsl(C41)</f>
        <v>0</v>
      </c>
      <c r="G41" s="7">
        <v>74.545454545454547</v>
      </c>
      <c r="H41" s="7">
        <v>40.588235294117645</v>
      </c>
      <c r="J41" s="248" t="str" cm="1">
        <f t="array" ref="J41">hsl_to_rgb(_xlfn.TEXTJOIN(", ",TRUE,$F41,$G41,$H41))</f>
        <v>181, 26, 26</v>
      </c>
      <c r="K41" s="249" t="str" cm="1">
        <f t="array" ref="K41">hsl_to_rgb(_xlfn.TEXTJOIN(", ",TRUE,$F41,$G41,K$2))</f>
        <v>111, 16, 16</v>
      </c>
      <c r="L41" s="250" t="str" cm="1">
        <f t="array" ref="L41">hsl_to_rgb(_xlfn.TEXTJOIN(", ",TRUE,$F41,$G41,L$2))</f>
        <v>239, 144, 144</v>
      </c>
    </row>
    <row r="42" spans="1:12" x14ac:dyDescent="0.25">
      <c r="A42" t="s">
        <v>302</v>
      </c>
      <c r="B42" s="5">
        <v>2237106</v>
      </c>
      <c r="C42" s="42" t="s">
        <v>303</v>
      </c>
      <c r="D42" s="42" t="s">
        <v>304</v>
      </c>
      <c r="F42" s="7" cm="1">
        <f t="array" ref="F42:H42">rgb_to_hsl(C42)</f>
        <v>0</v>
      </c>
      <c r="G42" s="7">
        <v>80.898876404494374</v>
      </c>
      <c r="H42" s="7">
        <v>41.568627450980387</v>
      </c>
      <c r="J42" s="251" t="str" cm="1">
        <f t="array" ref="J42">hsl_to_rgb(_xlfn.TEXTJOIN(", ",TRUE,$F42,$G42,$H42))</f>
        <v>192, 20, 20</v>
      </c>
      <c r="K42" s="252" t="str" cm="1">
        <f t="array" ref="K42">hsl_to_rgb(_xlfn.TEXTJOIN(", ",TRUE,$F42,$G42,K$2))</f>
        <v>115, 12, 12</v>
      </c>
      <c r="L42" s="253" t="str" cm="1">
        <f t="array" ref="L42">hsl_to_rgb(_xlfn.TEXTJOIN(", ",TRUE,$F42,$G42,L$2))</f>
        <v>243, 140, 140</v>
      </c>
    </row>
    <row r="43" spans="1:12" x14ac:dyDescent="0.25">
      <c r="A43" t="s">
        <v>305</v>
      </c>
      <c r="B43" s="5">
        <v>128</v>
      </c>
      <c r="C43" s="43" t="s">
        <v>306</v>
      </c>
      <c r="D43" s="43" t="s">
        <v>307</v>
      </c>
      <c r="F43" s="7" cm="1">
        <f t="array" ref="F43:H43">rgb_to_hsl(C43)</f>
        <v>0</v>
      </c>
      <c r="G43" s="7">
        <v>100</v>
      </c>
      <c r="H43" s="7">
        <v>25.098039215686274</v>
      </c>
      <c r="J43" s="254" t="str" cm="1">
        <f t="array" ref="J43">hsl_to_rgb(_xlfn.TEXTJOIN(", ",TRUE,$F43,$G43,$H43))</f>
        <v>128, 0, 0</v>
      </c>
      <c r="K43" s="254" t="str" cm="1">
        <f t="array" ref="K43">hsl_to_rgb(_xlfn.TEXTJOIN(", ",TRUE,$F43,$G43,K$2))</f>
        <v>128, 0, 0</v>
      </c>
      <c r="L43" s="255" t="str" cm="1">
        <f t="array" ref="L43">hsl_to_rgb(_xlfn.TEXTJOIN(", ",TRUE,$F43,$G43,L$2))</f>
        <v>255, 128, 128</v>
      </c>
    </row>
    <row r="44" spans="1:12" x14ac:dyDescent="0.25">
      <c r="A44" t="s">
        <v>308</v>
      </c>
      <c r="B44" s="5">
        <v>139</v>
      </c>
      <c r="C44" s="44" t="s">
        <v>309</v>
      </c>
      <c r="D44" s="44" t="s">
        <v>310</v>
      </c>
      <c r="F44" s="7" cm="1">
        <f t="array" ref="F44:H44">rgb_to_hsl(C44)</f>
        <v>0</v>
      </c>
      <c r="G44" s="7">
        <v>100</v>
      </c>
      <c r="H44" s="7">
        <v>27.254901960784313</v>
      </c>
      <c r="J44" s="256" t="str" cm="1">
        <f t="array" ref="J44">hsl_to_rgb(_xlfn.TEXTJOIN(", ",TRUE,$F44,$G44,$H44))</f>
        <v>139, 0, 0</v>
      </c>
      <c r="K44" s="254" t="str" cm="1">
        <f t="array" ref="K44">hsl_to_rgb(_xlfn.TEXTJOIN(", ",TRUE,$F44,$G44,K$2))</f>
        <v>128, 0, 0</v>
      </c>
      <c r="L44" s="255" t="str" cm="1">
        <f t="array" ref="L44">hsl_to_rgb(_xlfn.TEXTJOIN(", ",TRUE,$F44,$G44,L$2))</f>
        <v>255, 128, 128</v>
      </c>
    </row>
    <row r="45" spans="1:12" x14ac:dyDescent="0.25">
      <c r="A45" t="s">
        <v>311</v>
      </c>
      <c r="B45" s="5">
        <v>255</v>
      </c>
      <c r="C45" s="45" t="s">
        <v>312</v>
      </c>
      <c r="D45" s="45" t="s">
        <v>313</v>
      </c>
      <c r="F45" s="7" cm="1">
        <f t="array" ref="F45:H45">rgb_to_hsl(C45)</f>
        <v>0</v>
      </c>
      <c r="G45" s="7">
        <v>100</v>
      </c>
      <c r="H45" s="7">
        <v>50</v>
      </c>
      <c r="J45" s="257" t="str" cm="1">
        <f t="array" ref="J45">hsl_to_rgb(_xlfn.TEXTJOIN(", ",TRUE,$F45,$G45,$H45))</f>
        <v>255, 0, 0</v>
      </c>
      <c r="K45" s="254" t="str" cm="1">
        <f t="array" ref="K45">hsl_to_rgb(_xlfn.TEXTJOIN(", ",TRUE,$F45,$G45,K$2))</f>
        <v>128, 0, 0</v>
      </c>
      <c r="L45" s="255" t="str" cm="1">
        <f t="array" ref="L45">hsl_to_rgb(_xlfn.TEXTJOIN(", ",TRUE,$F45,$G45,L$2))</f>
        <v>255, 128, 128</v>
      </c>
    </row>
    <row r="46" spans="1:12" x14ac:dyDescent="0.25">
      <c r="A46" t="s">
        <v>314</v>
      </c>
      <c r="B46" s="5">
        <v>14804223</v>
      </c>
      <c r="C46" s="46" t="s">
        <v>315</v>
      </c>
      <c r="D46" s="46" t="s">
        <v>316</v>
      </c>
      <c r="F46" s="7" cm="1">
        <f t="array" ref="F46:H46">rgb_to_hsl(C46)</f>
        <v>6.0000000000000338</v>
      </c>
      <c r="G46" s="7">
        <v>11.764705882352944</v>
      </c>
      <c r="H46" s="7">
        <v>94.117647058823522</v>
      </c>
      <c r="J46" s="258" t="str" cm="1">
        <f t="array" ref="J46">hsl_to_rgb(_xlfn.TEXTJOIN(", ",TRUE,$F46,$G46,$H46))</f>
        <v>242, 239, 238</v>
      </c>
      <c r="K46" s="259" t="str" cm="1">
        <f t="array" ref="K46">hsl_to_rgb(_xlfn.TEXTJOIN(", ",TRUE,$F46,$G46,K$2))</f>
        <v>71, 58, 56</v>
      </c>
      <c r="L46" s="260" t="str" cm="1">
        <f t="array" ref="L46">hsl_to_rgb(_xlfn.TEXTJOIN(", ",TRUE,$F46,$G46,L$2))</f>
        <v>199, 185, 184</v>
      </c>
    </row>
    <row r="47" spans="1:12" x14ac:dyDescent="0.25">
      <c r="A47" t="s">
        <v>317</v>
      </c>
      <c r="B47" s="5">
        <v>7504122</v>
      </c>
      <c r="C47" s="47" t="s">
        <v>318</v>
      </c>
      <c r="D47" s="47" t="s">
        <v>319</v>
      </c>
      <c r="F47" s="7" cm="1">
        <f t="array" ref="F47:H47">rgb_to_hsl(C47)</f>
        <v>6.1764705882352926</v>
      </c>
      <c r="G47" s="7">
        <v>54.399999999999991</v>
      </c>
      <c r="H47" s="7">
        <v>71.372549019607845</v>
      </c>
      <c r="J47" s="261" t="str" cm="1">
        <f t="array" ref="J47">hsl_to_rgb(_xlfn.TEXTJOIN(", ",TRUE,$F47,$G47,$H47))</f>
        <v>222, 150, 142</v>
      </c>
      <c r="K47" s="262" t="str" cm="1">
        <f t="array" ref="K47">hsl_to_rgb(_xlfn.TEXTJOIN(", ",TRUE,$F47,$G47,K$2))</f>
        <v>98, 36, 29</v>
      </c>
      <c r="L47" s="263" t="str" cm="1">
        <f t="array" ref="L47">hsl_to_rgb(_xlfn.TEXTJOIN(", ",TRUE,$F47,$G47,L$2))</f>
        <v>226, 164, 157</v>
      </c>
    </row>
    <row r="48" spans="1:12" x14ac:dyDescent="0.25">
      <c r="A48" t="s">
        <v>320</v>
      </c>
      <c r="B48" s="5">
        <v>4678655</v>
      </c>
      <c r="C48" s="48" t="s">
        <v>321</v>
      </c>
      <c r="D48" s="48" t="s">
        <v>322</v>
      </c>
      <c r="F48" s="7" cm="1">
        <f t="array" ref="F48:H48">rgb_to_hsl(C48)</f>
        <v>9.1304347826086953</v>
      </c>
      <c r="G48" s="7">
        <v>72.156862745098039</v>
      </c>
      <c r="H48" s="7">
        <v>63.921568627450974</v>
      </c>
      <c r="J48" s="264" t="str" cm="1">
        <f t="array" ref="J48">hsl_to_rgb(_xlfn.TEXTJOIN(", ",TRUE,$F48,$G48,$H48))</f>
        <v>229, 117, 97</v>
      </c>
      <c r="K48" s="265" t="str" cm="1">
        <f t="array" ref="K48">hsl_to_rgb(_xlfn.TEXTJOIN(", ",TRUE,$F48,$G48,K$2))</f>
        <v>110, 32, 18</v>
      </c>
      <c r="L48" s="266" t="str" cm="1">
        <f t="array" ref="L48">hsl_to_rgb(_xlfn.TEXTJOIN(", ",TRUE,$F48,$G48,L$2))</f>
        <v>237, 159, 145</v>
      </c>
    </row>
    <row r="49" spans="1:12" x14ac:dyDescent="0.25">
      <c r="A49" t="s">
        <v>323</v>
      </c>
      <c r="B49" s="5">
        <v>8034025</v>
      </c>
      <c r="C49" s="49" t="s">
        <v>324</v>
      </c>
      <c r="D49" s="49" t="s">
        <v>325</v>
      </c>
      <c r="F49" s="7" cm="1">
        <f t="array" ref="F49:H49">rgb_to_hsl(C49)</f>
        <v>15.135135135135137</v>
      </c>
      <c r="G49" s="7">
        <v>47.639484978540771</v>
      </c>
      <c r="H49" s="7">
        <v>69.607843137254903</v>
      </c>
      <c r="J49" s="267" t="str" cm="1">
        <f t="array" ref="J49">hsl_to_rgb(_xlfn.TEXTJOIN(", ",TRUE,$F49,$G49,$H49))</f>
        <v>214, 159, 141</v>
      </c>
      <c r="K49" s="268" t="str" cm="1">
        <f t="array" ref="K49">hsl_to_rgb(_xlfn.TEXTJOIN(", ",TRUE,$F49,$G49,K$2))</f>
        <v>94, 49, 33</v>
      </c>
      <c r="L49" s="269" t="str" cm="1">
        <f t="array" ref="L49">hsl_to_rgb(_xlfn.TEXTJOIN(", ",TRUE,$F49,$G49,L$2))</f>
        <v>222, 176, 161</v>
      </c>
    </row>
    <row r="50" spans="1:12" x14ac:dyDescent="0.25">
      <c r="A50" t="s">
        <v>326</v>
      </c>
      <c r="B50" s="5">
        <v>5275647</v>
      </c>
      <c r="C50" s="50" t="s">
        <v>327</v>
      </c>
      <c r="D50" s="50" t="s">
        <v>328</v>
      </c>
      <c r="F50" s="7" cm="1">
        <f t="array" ref="F50:H50">rgb_to_hsl(C50)</f>
        <v>16.114285714285714</v>
      </c>
      <c r="G50" s="7">
        <v>68.627450980392155</v>
      </c>
      <c r="H50" s="7">
        <v>65.686274509803923</v>
      </c>
      <c r="J50" s="270" t="str" cm="1">
        <f t="array" ref="J50">hsl_to_rgb(_xlfn.TEXTJOIN(", ",TRUE,$F50,$G50,$H50))</f>
        <v>228, 140, 107</v>
      </c>
      <c r="K50" s="271" t="str" cm="1">
        <f t="array" ref="K50">hsl_to_rgb(_xlfn.TEXTJOIN(", ",TRUE,$F50,$G50,K$2))</f>
        <v>108, 43, 20</v>
      </c>
      <c r="L50" s="272" t="str" cm="1">
        <f t="array" ref="L50">hsl_to_rgb(_xlfn.TEXTJOIN(", ",TRUE,$F50,$G50,L$2))</f>
        <v>235, 171, 147</v>
      </c>
    </row>
    <row r="51" spans="1:12" x14ac:dyDescent="0.25">
      <c r="A51" t="s">
        <v>329</v>
      </c>
      <c r="B51" s="5">
        <v>17919</v>
      </c>
      <c r="C51" s="51" t="s">
        <v>330</v>
      </c>
      <c r="D51" s="51" t="s">
        <v>331</v>
      </c>
      <c r="F51" s="7" cm="1">
        <f t="array" ref="F51:H51">rgb_to_hsl(C51)</f>
        <v>16.235294117647058</v>
      </c>
      <c r="G51" s="7">
        <v>100</v>
      </c>
      <c r="H51" s="7">
        <v>50</v>
      </c>
      <c r="J51" s="273" t="str" cm="1">
        <f t="array" ref="J51">hsl_to_rgb(_xlfn.TEXTJOIN(", ",TRUE,$F51,$G51,$H51))</f>
        <v>255, 69, 0</v>
      </c>
      <c r="K51" s="274" t="str" cm="1">
        <f t="array" ref="K51">hsl_to_rgb(_xlfn.TEXTJOIN(", ",TRUE,$F51,$G51,K$2))</f>
        <v>128, 35, 0</v>
      </c>
      <c r="L51" s="275" t="str" cm="1">
        <f t="array" ref="L51">hsl_to_rgb(_xlfn.TEXTJOIN(", ",TRUE,$F51,$G51,L$2))</f>
        <v>255, 162, 128</v>
      </c>
    </row>
    <row r="52" spans="1:12" x14ac:dyDescent="0.25">
      <c r="A52" t="s">
        <v>332</v>
      </c>
      <c r="B52" s="5">
        <v>8036607</v>
      </c>
      <c r="C52" s="52" t="s">
        <v>333</v>
      </c>
      <c r="D52" s="52" t="s">
        <v>334</v>
      </c>
      <c r="F52" s="7" cm="1">
        <f t="array" ref="F52:H52">rgb_to_hsl(C52)</f>
        <v>17.142857142857142</v>
      </c>
      <c r="G52" s="7">
        <v>52.156862745098032</v>
      </c>
      <c r="H52" s="7">
        <v>73.921568627450981</v>
      </c>
      <c r="J52" s="276" t="str" cm="1">
        <f t="array" ref="J52">hsl_to_rgb(_xlfn.TEXTJOIN(", ",TRUE,$F52,$G52,$H52))</f>
        <v>223, 174, 154</v>
      </c>
      <c r="K52" s="277" t="str" cm="1">
        <f t="array" ref="K52">hsl_to_rgb(_xlfn.TEXTJOIN(", ",TRUE,$F52,$G52,K$2))</f>
        <v>97, 49, 31</v>
      </c>
      <c r="L52" s="278" t="str" cm="1">
        <f t="array" ref="L52">hsl_to_rgb(_xlfn.TEXTJOIN(", ",TRUE,$F52,$G52,L$2))</f>
        <v>224, 177, 158</v>
      </c>
    </row>
    <row r="53" spans="1:12" x14ac:dyDescent="0.25">
      <c r="A53" t="s">
        <v>335</v>
      </c>
      <c r="B53" s="5">
        <v>2970272</v>
      </c>
      <c r="C53" s="53" t="s">
        <v>336</v>
      </c>
      <c r="D53" s="53" t="s">
        <v>337</v>
      </c>
      <c r="F53" s="7" cm="1">
        <f t="array" ref="F53:H53">rgb_to_hsl(C53)</f>
        <v>19.304347826086961</v>
      </c>
      <c r="G53" s="7">
        <v>71.874999999999986</v>
      </c>
      <c r="H53" s="7">
        <v>40.196078431372548</v>
      </c>
      <c r="J53" s="279" t="str" cm="1">
        <f t="array" ref="J53">hsl_to_rgb(_xlfn.TEXTJOIN(", ",TRUE,$F53,$G53,$H53))</f>
        <v>176, 76, 29</v>
      </c>
      <c r="K53" s="280" t="str" cm="1">
        <f t="array" ref="K53">hsl_to_rgb(_xlfn.TEXTJOIN(", ",TRUE,$F53,$G53,K$2))</f>
        <v>110, 47, 18</v>
      </c>
      <c r="L53" s="281" t="str" cm="1">
        <f t="array" ref="L53">hsl_to_rgb(_xlfn.TEXTJOIN(", ",TRUE,$F53,$G53,L$2))</f>
        <v>237, 175, 145</v>
      </c>
    </row>
    <row r="54" spans="1:12" x14ac:dyDescent="0.25">
      <c r="A54" t="s">
        <v>338</v>
      </c>
      <c r="B54" s="5">
        <v>15660543</v>
      </c>
      <c r="C54" s="54" t="s">
        <v>339</v>
      </c>
      <c r="D54" s="54" t="s">
        <v>340</v>
      </c>
      <c r="F54" s="7" cm="1">
        <f t="array" ref="F54:H54">rgb_to_hsl(C54)</f>
        <v>24.705882352941195</v>
      </c>
      <c r="G54" s="7">
        <v>6.6666666666666652</v>
      </c>
      <c r="H54" s="7">
        <v>96.666666666666671</v>
      </c>
      <c r="J54" s="282" t="str" cm="1">
        <f t="array" ref="J54">hsl_to_rgb(_xlfn.TEXTJOIN(", ",TRUE,$F54,$G54,$H54))</f>
        <v>247, 246, 246</v>
      </c>
      <c r="K54" s="283" t="str" cm="1">
        <f t="array" ref="K54">hsl_to_rgb(_xlfn.TEXTJOIN(", ",TRUE,$F54,$G54,K$2))</f>
        <v>68, 63, 60</v>
      </c>
      <c r="L54" s="284" t="str" cm="1">
        <f t="array" ref="L54">hsl_to_rgb(_xlfn.TEXTJOIN(", ",TRUE,$F54,$G54,L$2))</f>
        <v>195, 190, 187</v>
      </c>
    </row>
    <row r="55" spans="1:12" x14ac:dyDescent="0.25">
      <c r="A55" t="s">
        <v>341</v>
      </c>
      <c r="B55" s="5">
        <v>1993170</v>
      </c>
      <c r="C55" s="55" t="s">
        <v>342</v>
      </c>
      <c r="D55" s="55" t="s">
        <v>343</v>
      </c>
      <c r="F55" s="7" cm="1">
        <f t="array" ref="F55:H55">rgb_to_hsl(C55)</f>
        <v>25</v>
      </c>
      <c r="G55" s="7">
        <v>85.714285714285708</v>
      </c>
      <c r="H55" s="7">
        <v>47.058823529411761</v>
      </c>
      <c r="J55" s="285" t="str" cm="1">
        <f t="array" ref="J55">hsl_to_rgb(_xlfn.TEXTJOIN(", ",TRUE,$F55,$G55,$H55))</f>
        <v>223, 103, 17</v>
      </c>
      <c r="K55" s="286" t="str" cm="1">
        <f t="array" ref="K55">hsl_to_rgb(_xlfn.TEXTJOIN(", ",TRUE,$F55,$G55,K$2))</f>
        <v>118, 55, 9</v>
      </c>
      <c r="L55" s="287" t="str" cm="1">
        <f t="array" ref="L55">hsl_to_rgb(_xlfn.TEXTJOIN(", ",TRUE,$F55,$G55,L$2))</f>
        <v>246, 182, 137</v>
      </c>
    </row>
    <row r="56" spans="1:12" x14ac:dyDescent="0.25">
      <c r="A56" t="s">
        <v>344</v>
      </c>
      <c r="B56" s="5">
        <v>1262987</v>
      </c>
      <c r="C56" s="56" t="s">
        <v>345</v>
      </c>
      <c r="D56" s="56" t="s">
        <v>346</v>
      </c>
      <c r="F56" s="7" cm="1">
        <f t="array" ref="F56:H56">rgb_to_hsl(C56)</f>
        <v>25</v>
      </c>
      <c r="G56" s="7">
        <v>86.330935251798564</v>
      </c>
      <c r="H56" s="7">
        <v>30.980392156862742</v>
      </c>
      <c r="J56" s="288" t="str" cm="1">
        <f t="array" ref="J56">hsl_to_rgb(_xlfn.TEXTJOIN(", ",TRUE,$F56,$G56,$H56))</f>
        <v>147, 68, 11</v>
      </c>
      <c r="K56" s="289" t="str" cm="1">
        <f t="array" ref="K56">hsl_to_rgb(_xlfn.TEXTJOIN(", ",TRUE,$F56,$G56,K$2))</f>
        <v>119, 55, 9</v>
      </c>
      <c r="L56" s="290" t="str" cm="1">
        <f t="array" ref="L56">hsl_to_rgb(_xlfn.TEXTJOIN(", ",TRUE,$F56,$G56,L$2))</f>
        <v>246, 182, 136</v>
      </c>
    </row>
    <row r="57" spans="1:12" x14ac:dyDescent="0.25">
      <c r="A57" t="s">
        <v>347</v>
      </c>
      <c r="B57" s="5">
        <v>6333684</v>
      </c>
      <c r="C57" s="57" t="s">
        <v>348</v>
      </c>
      <c r="D57" s="57" t="s">
        <v>349</v>
      </c>
      <c r="F57" s="7" cm="1">
        <f t="array" ref="F57:H57">rgb_to_hsl(C57)</f>
        <v>27.567567567567572</v>
      </c>
      <c r="G57" s="7">
        <v>60.655737704918032</v>
      </c>
      <c r="H57" s="7">
        <v>66.666666666666671</v>
      </c>
      <c r="J57" s="291" t="str" cm="1">
        <f t="array" ref="J57">hsl_to_rgb(_xlfn.TEXTJOIN(", ",TRUE,$F57,$G57,$H57))</f>
        <v>222, 166, 118</v>
      </c>
      <c r="K57" s="292" t="str" cm="1">
        <f t="array" ref="K57">hsl_to_rgb(_xlfn.TEXTJOIN(", ",TRUE,$F57,$G57,K$2))</f>
        <v>102, 61, 25</v>
      </c>
      <c r="L57" s="293" t="str" cm="1">
        <f t="array" ref="L57">hsl_to_rgb(_xlfn.TEXTJOIN(", ",TRUE,$F57,$G57,L$2))</f>
        <v>230, 188, 153</v>
      </c>
    </row>
    <row r="58" spans="1:12" x14ac:dyDescent="0.25">
      <c r="A58" t="s">
        <v>350</v>
      </c>
      <c r="B58" s="5">
        <v>12180223</v>
      </c>
      <c r="C58" s="58" t="s">
        <v>351</v>
      </c>
      <c r="D58" s="58" t="s">
        <v>352</v>
      </c>
      <c r="F58" s="7" cm="1">
        <f t="array" ref="F58:H58">rgb_to_hsl(C58)</f>
        <v>28.285714285714281</v>
      </c>
      <c r="G58" s="7">
        <v>27.450980392156865</v>
      </c>
      <c r="H58" s="7">
        <v>86.274509803921575</v>
      </c>
      <c r="J58" s="294" t="str" cm="1">
        <f t="array" ref="J58">hsl_to_rgb(_xlfn.TEXTJOIN(", ",TRUE,$F58,$G58,$H58))</f>
        <v>230, 219, 210</v>
      </c>
      <c r="K58" s="295" t="str" cm="1">
        <f t="array" ref="K58">hsl_to_rgb(_xlfn.TEXTJOIN(", ",TRUE,$F58,$G58,K$2))</f>
        <v>81, 63, 46</v>
      </c>
      <c r="L58" s="296" t="str" cm="1">
        <f t="array" ref="L58">hsl_to_rgb(_xlfn.TEXTJOIN(", ",TRUE,$F58,$G58,L$2))</f>
        <v>209, 190, 174</v>
      </c>
    </row>
    <row r="59" spans="1:12" x14ac:dyDescent="0.25">
      <c r="A59" t="s">
        <v>353</v>
      </c>
      <c r="B59" s="5">
        <v>4163021</v>
      </c>
      <c r="C59" s="59" t="s">
        <v>354</v>
      </c>
      <c r="D59" s="59" t="s">
        <v>355</v>
      </c>
      <c r="F59" s="7" cm="1">
        <f t="array" ref="F59:H59">rgb_to_hsl(C59)</f>
        <v>29.577464788732396</v>
      </c>
      <c r="G59" s="7">
        <v>69.268292682926827</v>
      </c>
      <c r="H59" s="7">
        <v>52.549019607843142</v>
      </c>
      <c r="J59" s="297" t="str" cm="1">
        <f t="array" ref="J59">hsl_to_rgb(_xlfn.TEXTJOIN(", ",TRUE,$F59,$G59,$H59))</f>
        <v>218, 133, 50</v>
      </c>
      <c r="K59" s="298" t="str" cm="1">
        <f t="array" ref="K59">hsl_to_rgb(_xlfn.TEXTJOIN(", ",TRUE,$F59,$G59,K$2))</f>
        <v>108, 63, 20</v>
      </c>
      <c r="L59" s="299" t="str" cm="1">
        <f t="array" ref="L59">hsl_to_rgb(_xlfn.TEXTJOIN(", ",TRUE,$F59,$G59,L$2))</f>
        <v>235, 191, 147</v>
      </c>
    </row>
    <row r="60" spans="1:12" x14ac:dyDescent="0.25">
      <c r="A60" t="s">
        <v>356</v>
      </c>
      <c r="B60" s="5">
        <v>15134970</v>
      </c>
      <c r="C60" s="60" t="s">
        <v>357</v>
      </c>
      <c r="D60" s="60" t="s">
        <v>358</v>
      </c>
      <c r="F60" s="7" cm="1">
        <f t="array" ref="F60:H60">rgb_to_hsl(C60)</f>
        <v>30</v>
      </c>
      <c r="G60" s="7">
        <v>7.9999999999999947</v>
      </c>
      <c r="H60" s="7">
        <v>94.117647058823522</v>
      </c>
      <c r="J60" s="300" t="str" cm="1">
        <f t="array" ref="J60">hsl_to_rgb(_xlfn.TEXTJOIN(", ",TRUE,$F60,$G60,$H60))</f>
        <v>241, 240, 239</v>
      </c>
      <c r="K60" s="301" t="str" cm="1">
        <f t="array" ref="K60">hsl_to_rgb(_xlfn.TEXTJOIN(", ",TRUE,$F60,$G60,K$2))</f>
        <v>69, 64, 59</v>
      </c>
      <c r="L60" s="302" t="str" cm="1">
        <f t="array" ref="L60">hsl_to_rgb(_xlfn.TEXTJOIN(", ",TRUE,$F60,$G60,L$2))</f>
        <v>196, 191, 186</v>
      </c>
    </row>
    <row r="61" spans="1:12" x14ac:dyDescent="0.25">
      <c r="A61" t="s">
        <v>359</v>
      </c>
      <c r="B61" s="5">
        <v>12903679</v>
      </c>
      <c r="C61" s="61" t="s">
        <v>360</v>
      </c>
      <c r="D61" s="61" t="s">
        <v>361</v>
      </c>
      <c r="F61" s="7" cm="1">
        <f t="array" ref="F61:H61">rgb_to_hsl(C61)</f>
        <v>32.542372881355938</v>
      </c>
      <c r="G61" s="7">
        <v>23.13725490196078</v>
      </c>
      <c r="H61" s="7">
        <v>88.431372549019599</v>
      </c>
      <c r="J61" s="303" t="str" cm="1">
        <f t="array" ref="J61">hsl_to_rgb(_xlfn.TEXTJOIN(", ",TRUE,$F61,$G61,$H61))</f>
        <v>232, 226, 219</v>
      </c>
      <c r="K61" s="304" t="str" cm="1">
        <f t="array" ref="K61">hsl_to_rgb(_xlfn.TEXTJOIN(", ",TRUE,$F61,$G61,K$2))</f>
        <v>78, 65, 49</v>
      </c>
      <c r="L61" s="305" t="str" cm="1">
        <f t="array" ref="L61">hsl_to_rgb(_xlfn.TEXTJOIN(", ",TRUE,$F61,$G61,L$2))</f>
        <v>206, 192, 176</v>
      </c>
    </row>
    <row r="62" spans="1:12" x14ac:dyDescent="0.25">
      <c r="A62" t="s">
        <v>362</v>
      </c>
      <c r="B62" s="5">
        <v>36095</v>
      </c>
      <c r="C62" s="62" t="s">
        <v>363</v>
      </c>
      <c r="D62" s="62" t="s">
        <v>364</v>
      </c>
      <c r="F62" s="7" cm="1">
        <f t="array" ref="F62:H62">rgb_to_hsl(C62)</f>
        <v>32.941176470588239</v>
      </c>
      <c r="G62" s="7">
        <v>100</v>
      </c>
      <c r="H62" s="7">
        <v>50</v>
      </c>
      <c r="J62" s="306" t="str" cm="1">
        <f t="array" ref="J62">hsl_to_rgb(_xlfn.TEXTJOIN(", ",TRUE,$F62,$G62,$H62))</f>
        <v>255, 140, 0</v>
      </c>
      <c r="K62" s="307" t="str" cm="1">
        <f t="array" ref="K62">hsl_to_rgb(_xlfn.TEXTJOIN(", ",TRUE,$F62,$G62,K$2))</f>
        <v>128, 70, 0</v>
      </c>
      <c r="L62" s="308" t="str" cm="1">
        <f t="array" ref="L62">hsl_to_rgb(_xlfn.TEXTJOIN(", ",TRUE,$F62,$G62,L$2))</f>
        <v>255, 197, 128</v>
      </c>
    </row>
    <row r="63" spans="1:12" x14ac:dyDescent="0.25">
      <c r="A63" t="s">
        <v>365</v>
      </c>
      <c r="B63" s="5">
        <v>8894686</v>
      </c>
      <c r="C63" s="63" t="s">
        <v>366</v>
      </c>
      <c r="D63" s="63" t="s">
        <v>367</v>
      </c>
      <c r="F63" s="7" cm="1">
        <f t="array" ref="F63:H63">rgb_to_hsl(C63)</f>
        <v>33.793103448275858</v>
      </c>
      <c r="G63" s="7">
        <v>39.189189189189186</v>
      </c>
      <c r="H63" s="7">
        <v>70</v>
      </c>
      <c r="J63" s="309" t="str" cm="1">
        <f t="array" ref="J63">hsl_to_rgb(_xlfn.TEXTJOIN(", ",TRUE,$F63,$G63,$H63))</f>
        <v>208, 182, 149</v>
      </c>
      <c r="K63" s="310" t="str" cm="1">
        <f t="array" ref="K63">hsl_to_rgb(_xlfn.TEXTJOIN(", ",TRUE,$F63,$G63,K$2))</f>
        <v>89, 67, 39</v>
      </c>
      <c r="L63" s="311" t="str" cm="1">
        <f t="array" ref="L63">hsl_to_rgb(_xlfn.TEXTJOIN(", ",TRUE,$F63,$G63,L$2))</f>
        <v>216, 194, 166</v>
      </c>
    </row>
    <row r="64" spans="1:12" x14ac:dyDescent="0.25">
      <c r="A64" t="s">
        <v>368</v>
      </c>
      <c r="B64" s="5">
        <v>14150650</v>
      </c>
      <c r="C64" s="64" t="s">
        <v>369</v>
      </c>
      <c r="D64" s="64" t="s">
        <v>370</v>
      </c>
      <c r="F64" s="7" cm="1">
        <f t="array" ref="F64:H64">rgb_to_hsl(C64)</f>
        <v>34.28571428571427</v>
      </c>
      <c r="G64" s="7">
        <v>13.999999999999996</v>
      </c>
      <c r="H64" s="7">
        <v>91.17647058823529</v>
      </c>
      <c r="J64" s="312" t="str" cm="1">
        <f t="array" ref="J64">hsl_to_rgb(_xlfn.TEXTJOIN(", ",TRUE,$F64,$G64,$H64))</f>
        <v>236, 233, 229</v>
      </c>
      <c r="K64" s="313" t="str" cm="1">
        <f t="array" ref="K64">hsl_to_rgb(_xlfn.TEXTJOIN(", ",TRUE,$F64,$G64,K$2))</f>
        <v>73, 65, 55</v>
      </c>
      <c r="L64" s="314" t="str" cm="1">
        <f t="array" ref="L64">hsl_to_rgb(_xlfn.TEXTJOIN(", ",TRUE,$F64,$G64,L$2))</f>
        <v>200, 193, 182</v>
      </c>
    </row>
    <row r="65" spans="1:12" x14ac:dyDescent="0.25">
      <c r="A65" t="s">
        <v>371</v>
      </c>
      <c r="B65" s="5">
        <v>9221330</v>
      </c>
      <c r="C65" s="65" t="s">
        <v>372</v>
      </c>
      <c r="D65" s="65" t="s">
        <v>373</v>
      </c>
      <c r="F65" s="7" cm="1">
        <f t="array" ref="F65:H65">rgb_to_hsl(C65)</f>
        <v>34.285714285714299</v>
      </c>
      <c r="G65" s="7">
        <v>33.333333333333329</v>
      </c>
      <c r="H65" s="7">
        <v>68.627450980392155</v>
      </c>
      <c r="J65" s="315" t="str" cm="1">
        <f t="array" ref="J65">hsl_to_rgb(_xlfn.TEXTJOIN(", ",TRUE,$F65,$G65,$H65))</f>
        <v>202, 179, 148</v>
      </c>
      <c r="K65" s="316" t="str" cm="1">
        <f t="array" ref="K65">hsl_to_rgb(_xlfn.TEXTJOIN(", ",TRUE,$F65,$G65,K$2))</f>
        <v>85, 67, 43</v>
      </c>
      <c r="L65" s="317" t="str" cm="1">
        <f t="array" ref="L65">hsl_to_rgb(_xlfn.TEXTJOIN(", ",TRUE,$F65,$G65,L$2))</f>
        <v>212, 194, 170</v>
      </c>
    </row>
    <row r="66" spans="1:12" x14ac:dyDescent="0.25">
      <c r="A66" t="s">
        <v>374</v>
      </c>
      <c r="B66" s="5">
        <v>11394815</v>
      </c>
      <c r="C66" s="66" t="s">
        <v>375</v>
      </c>
      <c r="D66" s="66" t="s">
        <v>376</v>
      </c>
      <c r="F66" s="7" cm="1">
        <f t="array" ref="F66:H66">rgb_to_hsl(C66)</f>
        <v>35.853658536585364</v>
      </c>
      <c r="G66" s="7">
        <v>32.156862745098039</v>
      </c>
      <c r="H66" s="7">
        <v>83.921568627450981</v>
      </c>
      <c r="J66" s="318" t="str" cm="1">
        <f t="array" ref="J66">hsl_to_rgb(_xlfn.TEXTJOIN(", ",TRUE,$F66,$G66,$H66))</f>
        <v>227, 217, 201</v>
      </c>
      <c r="K66" s="319" t="str" cm="1">
        <f t="array" ref="K66">hsl_to_rgb(_xlfn.TEXTJOIN(", ",TRUE,$F66,$G66,K$2))</f>
        <v>84, 68, 43</v>
      </c>
      <c r="L66" s="320" t="str" cm="1">
        <f t="array" ref="L66">hsl_to_rgb(_xlfn.TEXTJOIN(", ",TRUE,$F66,$G66,L$2))</f>
        <v>212, 195, 171</v>
      </c>
    </row>
    <row r="67" spans="1:12" x14ac:dyDescent="0.25">
      <c r="A67" t="s">
        <v>377</v>
      </c>
      <c r="B67" s="5">
        <v>13495295</v>
      </c>
      <c r="C67" s="67" t="s">
        <v>378</v>
      </c>
      <c r="D67" s="67" t="s">
        <v>379</v>
      </c>
      <c r="F67" s="7" cm="1">
        <f t="array" ref="F67:H67">rgb_to_hsl(C67)</f>
        <v>35.999999999999979</v>
      </c>
      <c r="G67" s="7">
        <v>19.6078431372549</v>
      </c>
      <c r="H67" s="7">
        <v>90.196078431372555</v>
      </c>
      <c r="J67" s="321" t="str" cm="1">
        <f t="array" ref="J67">hsl_to_rgb(_xlfn.TEXTJOIN(", ",TRUE,$F67,$G67,$H67))</f>
        <v>235, 231, 225</v>
      </c>
      <c r="K67" s="322" t="str" cm="1">
        <f t="array" ref="K67">hsl_to_rgb(_xlfn.TEXTJOIN(", ",TRUE,$F67,$G67,K$2))</f>
        <v>76, 66, 51</v>
      </c>
      <c r="L67" s="323" t="str" cm="1">
        <f t="array" ref="L67">hsl_to_rgb(_xlfn.TEXTJOIN(", ",TRUE,$F67,$G67,L$2))</f>
        <v>204, 194, 179</v>
      </c>
    </row>
    <row r="68" spans="1:12" x14ac:dyDescent="0.25">
      <c r="A68" t="s">
        <v>380</v>
      </c>
      <c r="B68" s="5">
        <v>14020607</v>
      </c>
      <c r="C68" s="68" t="s">
        <v>381</v>
      </c>
      <c r="D68" s="68" t="s">
        <v>382</v>
      </c>
      <c r="F68" s="7" cm="1">
        <f t="array" ref="F68:H68">rgb_to_hsl(C68)</f>
        <v>37.142857142857139</v>
      </c>
      <c r="G68" s="7">
        <v>16.470588235294116</v>
      </c>
      <c r="H68" s="7">
        <v>91.764705882352942</v>
      </c>
      <c r="J68" s="324" t="str" cm="1">
        <f t="array" ref="J68">hsl_to_rgb(_xlfn.TEXTJOIN(", ",TRUE,$F68,$G68,$H68))</f>
        <v>237, 235, 231</v>
      </c>
      <c r="K68" s="325" t="str" cm="1">
        <f t="array" ref="K68">hsl_to_rgb(_xlfn.TEXTJOIN(", ",TRUE,$F68,$G68,K$2))</f>
        <v>74, 66, 53</v>
      </c>
      <c r="L68" s="326" t="str" cm="1">
        <f t="array" ref="L68">hsl_to_rgb(_xlfn.TEXTJOIN(", ",TRUE,$F68,$G68,L$2))</f>
        <v>202, 194, 181</v>
      </c>
    </row>
    <row r="69" spans="1:12" x14ac:dyDescent="0.25">
      <c r="A69" t="s">
        <v>383</v>
      </c>
      <c r="B69" s="5">
        <v>11920639</v>
      </c>
      <c r="C69" s="69" t="s">
        <v>384</v>
      </c>
      <c r="D69" s="69" t="s">
        <v>385</v>
      </c>
      <c r="F69" s="7" cm="1">
        <f t="array" ref="F69:H69">rgb_to_hsl(C69)</f>
        <v>38.108108108108112</v>
      </c>
      <c r="G69" s="7">
        <v>29.019607843137251</v>
      </c>
      <c r="H69" s="7">
        <v>85.490196078431381</v>
      </c>
      <c r="J69" s="327" t="str" cm="1">
        <f t="array" ref="J69">hsl_to_rgb(_xlfn.TEXTJOIN(", ",TRUE,$F69,$G69,$H69))</f>
        <v>229, 221, 207</v>
      </c>
      <c r="K69" s="328" t="str" cm="1">
        <f t="array" ref="K69">hsl_to_rgb(_xlfn.TEXTJOIN(", ",TRUE,$F69,$G69,K$2))</f>
        <v>82, 69, 45</v>
      </c>
      <c r="L69" s="329" t="str" cm="1">
        <f t="array" ref="L69">hsl_to_rgb(_xlfn.TEXTJOIN(", ",TRUE,$F69,$G69,L$2))</f>
        <v>210, 196, 173</v>
      </c>
    </row>
    <row r="70" spans="1:12" x14ac:dyDescent="0.25">
      <c r="A70" t="s">
        <v>386</v>
      </c>
      <c r="B70" s="5">
        <v>42495</v>
      </c>
      <c r="C70" s="70" t="s">
        <v>387</v>
      </c>
      <c r="D70" s="70" t="s">
        <v>388</v>
      </c>
      <c r="F70" s="7" cm="1">
        <f t="array" ref="F70:H70">rgb_to_hsl(C70)</f>
        <v>38.82352941176471</v>
      </c>
      <c r="G70" s="7">
        <v>100</v>
      </c>
      <c r="H70" s="7">
        <v>50</v>
      </c>
      <c r="J70" s="330" t="str" cm="1">
        <f t="array" ref="J70">hsl_to_rgb(_xlfn.TEXTJOIN(", ",TRUE,$F70,$G70,$H70))</f>
        <v>255, 165, 0</v>
      </c>
      <c r="K70" s="331" t="str" cm="1">
        <f t="array" ref="K70">hsl_to_rgb(_xlfn.TEXTJOIN(", ",TRUE,$F70,$G70,K$2))</f>
        <v>128, 82, 0</v>
      </c>
      <c r="L70" s="332" t="str" cm="1">
        <f t="array" ref="L70">hsl_to_rgb(_xlfn.TEXTJOIN(", ",TRUE,$F70,$G70,L$2))</f>
        <v>255, 210, 128</v>
      </c>
    </row>
    <row r="71" spans="1:12" x14ac:dyDescent="0.25">
      <c r="A71" t="s">
        <v>389</v>
      </c>
      <c r="B71" s="5">
        <v>11788021</v>
      </c>
      <c r="C71" s="71" t="s">
        <v>390</v>
      </c>
      <c r="D71" s="71" t="s">
        <v>391</v>
      </c>
      <c r="F71" s="7" cm="1">
        <f t="array" ref="F71:H71">rgb_to_hsl(C71)</f>
        <v>39.090909090909093</v>
      </c>
      <c r="G71" s="7">
        <v>26.938775510204088</v>
      </c>
      <c r="H71" s="7">
        <v>83.137254901960773</v>
      </c>
      <c r="J71" s="333" t="str" cm="1">
        <f t="array" ref="J71">hsl_to_rgb(_xlfn.TEXTJOIN(", ",TRUE,$F71,$G71,$H71))</f>
        <v>224, 216, 200</v>
      </c>
      <c r="K71" s="334" t="str" cm="1">
        <f t="array" ref="K71">hsl_to_rgb(_xlfn.TEXTJOIN(", ",TRUE,$F71,$G71,K$2))</f>
        <v>81, 69, 47</v>
      </c>
      <c r="L71" s="335" t="str" cm="1">
        <f t="array" ref="L71">hsl_to_rgb(_xlfn.TEXTJOIN(", ",TRUE,$F71,$G71,L$2))</f>
        <v>208, 196, 174</v>
      </c>
    </row>
    <row r="72" spans="1:12" x14ac:dyDescent="0.25">
      <c r="A72" t="s">
        <v>392</v>
      </c>
      <c r="B72" s="5">
        <v>15136253</v>
      </c>
      <c r="C72" s="72" t="s">
        <v>393</v>
      </c>
      <c r="D72" s="72" t="s">
        <v>394</v>
      </c>
      <c r="F72" s="7" cm="1">
        <f t="array" ref="F72:H72">rgb_to_hsl(C72)</f>
        <v>39.130434782608695</v>
      </c>
      <c r="G72" s="7">
        <v>9.0909090909090917</v>
      </c>
      <c r="H72" s="7">
        <v>94.705882352941174</v>
      </c>
      <c r="J72" s="336" t="str" cm="1">
        <f t="array" ref="J72">hsl_to_rgb(_xlfn.TEXTJOIN(", ",TRUE,$F72,$G72,$H72))</f>
        <v>243, 242, 240</v>
      </c>
      <c r="K72" s="337" t="str" cm="1">
        <f t="array" ref="K72">hsl_to_rgb(_xlfn.TEXTJOIN(", ",TRUE,$F72,$G72,K$2))</f>
        <v>70, 66, 58</v>
      </c>
      <c r="L72" s="338" t="str" cm="1">
        <f t="array" ref="L72">hsl_to_rgb(_xlfn.TEXTJOIN(", ",TRUE,$F72,$G72,L$2))</f>
        <v>197, 193, 185</v>
      </c>
    </row>
    <row r="73" spans="1:12" x14ac:dyDescent="0.25">
      <c r="A73" t="s">
        <v>395</v>
      </c>
      <c r="B73" s="5">
        <v>15792895</v>
      </c>
      <c r="C73" s="73" t="s">
        <v>396</v>
      </c>
      <c r="D73" s="73" t="s">
        <v>397</v>
      </c>
      <c r="F73" s="7" cm="1">
        <f t="array" ref="F73:H73">rgb_to_hsl(C73)</f>
        <v>39.999999999999964</v>
      </c>
      <c r="G73" s="7">
        <v>5.8823529411764719</v>
      </c>
      <c r="H73" s="7">
        <v>97.058823529411768</v>
      </c>
      <c r="J73" s="339" t="str" cm="1">
        <f t="array" ref="J73">hsl_to_rgb(_xlfn.TEXTJOIN(", ",TRUE,$F73,$G73,$H73))</f>
        <v>248, 248, 247</v>
      </c>
      <c r="K73" s="340" t="str" cm="1">
        <f t="array" ref="K73">hsl_to_rgb(_xlfn.TEXTJOIN(", ",TRUE,$F73,$G73,K$2))</f>
        <v>68, 65, 60</v>
      </c>
      <c r="L73" s="341" t="str" cm="1">
        <f t="array" ref="L73">hsl_to_rgb(_xlfn.TEXTJOIN(", ",TRUE,$F73,$G73,L$2))</f>
        <v>195, 193, 188</v>
      </c>
    </row>
    <row r="74" spans="1:12" x14ac:dyDescent="0.25">
      <c r="A74" t="s">
        <v>398</v>
      </c>
      <c r="B74" s="5">
        <v>755384</v>
      </c>
      <c r="C74" s="74" t="s">
        <v>399</v>
      </c>
      <c r="D74" s="74" t="s">
        <v>400</v>
      </c>
      <c r="F74" s="7" cm="1">
        <f t="array" ref="F74:H74">rgb_to_hsl(C74)</f>
        <v>42.658959537572251</v>
      </c>
      <c r="G74" s="7">
        <v>94.021739130434796</v>
      </c>
      <c r="H74" s="7">
        <v>38.235294117647058</v>
      </c>
      <c r="J74" s="342" t="str" cm="1">
        <f t="array" ref="J74">hsl_to_rgb(_xlfn.TEXTJOIN(", ",TRUE,$F74,$G74,$H74))</f>
        <v>189, 136, 6</v>
      </c>
      <c r="K74" s="343" t="str" cm="1">
        <f t="array" ref="K74">hsl_to_rgb(_xlfn.TEXTJOIN(", ",TRUE,$F74,$G74,K$2))</f>
        <v>124, 89, 4</v>
      </c>
      <c r="L74" s="344" t="str" cm="1">
        <f t="array" ref="L74">hsl_to_rgb(_xlfn.TEXTJOIN(", ",TRUE,$F74,$G74,L$2))</f>
        <v>251, 217, 131</v>
      </c>
    </row>
    <row r="75" spans="1:12" x14ac:dyDescent="0.25">
      <c r="A75" t="s">
        <v>401</v>
      </c>
      <c r="B75" s="5">
        <v>2139610</v>
      </c>
      <c r="C75" s="75" t="s">
        <v>402</v>
      </c>
      <c r="D75" s="75" t="s">
        <v>403</v>
      </c>
      <c r="F75" s="7" cm="1">
        <f t="array" ref="F75:H75">rgb_to_hsl(C75)</f>
        <v>42.903225806451616</v>
      </c>
      <c r="G75" s="7">
        <v>85.321100917431195</v>
      </c>
      <c r="H75" s="7">
        <v>49.019607843137251</v>
      </c>
      <c r="J75" s="345" t="str" cm="1">
        <f t="array" ref="J75">hsl_to_rgb(_xlfn.TEXTJOIN(", ",TRUE,$F75,$G75,$H75))</f>
        <v>232, 171, 18</v>
      </c>
      <c r="K75" s="346" t="str" cm="1">
        <f t="array" ref="K75">hsl_to_rgb(_xlfn.TEXTJOIN(", ",TRUE,$F75,$G75,K$2))</f>
        <v>118, 87, 9</v>
      </c>
      <c r="L75" s="347" t="str" cm="1">
        <f t="array" ref="L75">hsl_to_rgb(_xlfn.TEXTJOIN(", ",TRUE,$F75,$G75,L$2))</f>
        <v>246, 215, 137</v>
      </c>
    </row>
    <row r="76" spans="1:12" x14ac:dyDescent="0.25">
      <c r="A76" t="s">
        <v>404</v>
      </c>
      <c r="B76" s="5">
        <v>14481663</v>
      </c>
      <c r="C76" s="76" t="s">
        <v>405</v>
      </c>
      <c r="D76" s="76" t="s">
        <v>406</v>
      </c>
      <c r="F76" s="7" cm="1">
        <f t="array" ref="F76:H76">rgb_to_hsl(C76)</f>
        <v>47.999999999999993</v>
      </c>
      <c r="G76" s="7">
        <v>13.725490196078427</v>
      </c>
      <c r="H76" s="7">
        <v>93.137254901960787</v>
      </c>
      <c r="J76" s="348" t="str" cm="1">
        <f t="array" ref="J76">hsl_to_rgb(_xlfn.TEXTJOIN(", ",TRUE,$F76,$G76,$H76))</f>
        <v>240, 239, 235</v>
      </c>
      <c r="K76" s="349" t="str" cm="1">
        <f t="array" ref="K76">hsl_to_rgb(_xlfn.TEXTJOIN(", ",TRUE,$F76,$G76,K$2))</f>
        <v>72, 69, 55</v>
      </c>
      <c r="L76" s="350" t="str" cm="1">
        <f t="array" ref="L76">hsl_to_rgb(_xlfn.TEXTJOIN(", ",TRUE,$F76,$G76,L$2))</f>
        <v>200, 196, 183</v>
      </c>
    </row>
    <row r="77" spans="1:12" x14ac:dyDescent="0.25">
      <c r="A77" t="s">
        <v>407</v>
      </c>
      <c r="B77" s="5">
        <v>55295</v>
      </c>
      <c r="C77" s="77" t="s">
        <v>408</v>
      </c>
      <c r="D77" s="77" t="s">
        <v>409</v>
      </c>
      <c r="F77" s="7" cm="1">
        <f t="array" ref="F77:H77">rgb_to_hsl(C77)</f>
        <v>50.588235294117645</v>
      </c>
      <c r="G77" s="7">
        <v>100</v>
      </c>
      <c r="H77" s="7">
        <v>50</v>
      </c>
      <c r="J77" s="351" t="str" cm="1">
        <f t="array" ref="J77">hsl_to_rgb(_xlfn.TEXTJOIN(", ",TRUE,$F77,$G77,$H77))</f>
        <v>255, 215, 0</v>
      </c>
      <c r="K77" s="352" t="str" cm="1">
        <f t="array" ref="K77">hsl_to_rgb(_xlfn.TEXTJOIN(", ",TRUE,$F77,$G77,K$2))</f>
        <v>128, 107, 0</v>
      </c>
      <c r="L77" s="353" t="str" cm="1">
        <f t="array" ref="L77">hsl_to_rgb(_xlfn.TEXTJOIN(", ",TRUE,$F77,$G77,L$2))</f>
        <v>255, 235, 128</v>
      </c>
    </row>
    <row r="78" spans="1:12" x14ac:dyDescent="0.25">
      <c r="A78" t="s">
        <v>410</v>
      </c>
      <c r="B78" s="5">
        <v>13499135</v>
      </c>
      <c r="C78" s="78" t="s">
        <v>411</v>
      </c>
      <c r="D78" s="78" t="s">
        <v>412</v>
      </c>
      <c r="F78" s="7" cm="1">
        <f t="array" ref="F78:H78">rgb_to_hsl(C78)</f>
        <v>53.999999999999986</v>
      </c>
      <c r="G78" s="7">
        <v>19.6078431372549</v>
      </c>
      <c r="H78" s="7">
        <v>90.196078431372555</v>
      </c>
      <c r="J78" s="354" t="str" cm="1">
        <f t="array" ref="J78">hsl_to_rgb(_xlfn.TEXTJOIN(", ",TRUE,$F78,$G78,$H78))</f>
        <v>235, 234, 225</v>
      </c>
      <c r="K78" s="355" t="str" cm="1">
        <f t="array" ref="K78">hsl_to_rgb(_xlfn.TEXTJOIN(", ",TRUE,$F78,$G78,K$2))</f>
        <v>76, 74, 51</v>
      </c>
      <c r="L78" s="356" t="str" cm="1">
        <f t="array" ref="L78">hsl_to_rgb(_xlfn.TEXTJOIN(", ",TRUE,$F78,$G78,L$2))</f>
        <v>204, 201, 179</v>
      </c>
    </row>
    <row r="79" spans="1:12" x14ac:dyDescent="0.25">
      <c r="A79" t="s">
        <v>413</v>
      </c>
      <c r="B79" s="5">
        <v>9234160</v>
      </c>
      <c r="C79" s="79" t="s">
        <v>414</v>
      </c>
      <c r="D79" s="79" t="s">
        <v>415</v>
      </c>
      <c r="F79" s="7" cm="1">
        <f t="array" ref="F79:H79">rgb_to_hsl(C79)</f>
        <v>54</v>
      </c>
      <c r="G79" s="7">
        <v>41.666666666666664</v>
      </c>
      <c r="H79" s="7">
        <v>74.509803921568633</v>
      </c>
      <c r="J79" s="357" t="str" cm="1">
        <f t="array" ref="J79">hsl_to_rgb(_xlfn.TEXTJOIN(", ",TRUE,$F79,$G79,$H79))</f>
        <v>217, 212, 163</v>
      </c>
      <c r="K79" s="358" t="str" cm="1">
        <f t="array" ref="K79">hsl_to_rgb(_xlfn.TEXTJOIN(", ",TRUE,$F79,$G79,K$2))</f>
        <v>90, 85, 37</v>
      </c>
      <c r="L79" s="359" t="str" cm="1">
        <f t="array" ref="L79">hsl_to_rgb(_xlfn.TEXTJOIN(", ",TRUE,$F79,$G79,L$2))</f>
        <v>218, 213, 165</v>
      </c>
    </row>
    <row r="80" spans="1:12" x14ac:dyDescent="0.25">
      <c r="A80" t="s">
        <v>416</v>
      </c>
      <c r="B80" s="5">
        <v>11200750</v>
      </c>
      <c r="C80" s="80" t="s">
        <v>417</v>
      </c>
      <c r="D80" s="80" t="s">
        <v>418</v>
      </c>
      <c r="F80" s="7" cm="1">
        <f t="array" ref="F80:H80">rgb_to_hsl(C80)</f>
        <v>54.705882352941174</v>
      </c>
      <c r="G80" s="7">
        <v>28.571428571428577</v>
      </c>
      <c r="H80" s="7">
        <v>80</v>
      </c>
      <c r="J80" s="360" t="str" cm="1">
        <f t="array" ref="J80">hsl_to_rgb(_xlfn.TEXTJOIN(", ",TRUE,$F80,$G80,$H80))</f>
        <v>219, 216, 189</v>
      </c>
      <c r="K80" s="361" t="str" cm="1">
        <f t="array" ref="K80">hsl_to_rgb(_xlfn.TEXTJOIN(", ",TRUE,$F80,$G80,K$2))</f>
        <v>82, 79, 46</v>
      </c>
      <c r="L80" s="362" t="str" cm="1">
        <f t="array" ref="L80">hsl_to_rgb(_xlfn.TEXTJOIN(", ",TRUE,$F80,$G80,L$2))</f>
        <v>209, 206, 173</v>
      </c>
    </row>
    <row r="81" spans="1:12" x14ac:dyDescent="0.25">
      <c r="A81" t="s">
        <v>419</v>
      </c>
      <c r="B81" s="5">
        <v>7059389</v>
      </c>
      <c r="C81" s="81" t="s">
        <v>420</v>
      </c>
      <c r="D81" s="81" t="s">
        <v>421</v>
      </c>
      <c r="F81" s="7" cm="1">
        <f t="array" ref="F81:H81">rgb_to_hsl(C81)</f>
        <v>55.609756097560968</v>
      </c>
      <c r="G81" s="7">
        <v>43.386243386243386</v>
      </c>
      <c r="H81" s="7">
        <v>58.039215686274517</v>
      </c>
      <c r="J81" s="363" t="str" cm="1">
        <f t="array" ref="J81">hsl_to_rgb(_xlfn.TEXTJOIN(", ",TRUE,$F81,$G81,$H81))</f>
        <v>194, 188, 102</v>
      </c>
      <c r="K81" s="364" t="str" cm="1">
        <f t="array" ref="K81">hsl_to_rgb(_xlfn.TEXTJOIN(", ",TRUE,$F81,$G81,K$2))</f>
        <v>91, 87, 36</v>
      </c>
      <c r="L81" s="365" t="str" cm="1">
        <f t="array" ref="L81">hsl_to_rgb(_xlfn.TEXTJOIN(", ",TRUE,$F81,$G81,L$2))</f>
        <v>219, 215, 164</v>
      </c>
    </row>
    <row r="82" spans="1:12" x14ac:dyDescent="0.25">
      <c r="A82" t="s">
        <v>422</v>
      </c>
      <c r="B82" s="5">
        <v>15794175</v>
      </c>
      <c r="C82" s="82" t="s">
        <v>423</v>
      </c>
      <c r="D82" s="82" t="s">
        <v>424</v>
      </c>
      <c r="F82" s="7" cm="1">
        <f t="array" ref="F82:H82">rgb_to_hsl(C82)</f>
        <v>60</v>
      </c>
      <c r="G82" s="7">
        <v>5.8823529411764719</v>
      </c>
      <c r="H82" s="7">
        <v>97.058823529411768</v>
      </c>
      <c r="J82" s="339" t="str" cm="1">
        <f t="array" ref="J82">hsl_to_rgb(_xlfn.TEXTJOIN(", ",TRUE,$F82,$G82,$H82))</f>
        <v>248, 248, 247</v>
      </c>
      <c r="K82" s="366" t="str" cm="1">
        <f t="array" ref="K82">hsl_to_rgb(_xlfn.TEXTJOIN(", ",TRUE,$F82,$G82,K$2))</f>
        <v>68, 68, 60</v>
      </c>
      <c r="L82" s="367" t="str" cm="1">
        <f t="array" ref="L82">hsl_to_rgb(_xlfn.TEXTJOIN(", ",TRUE,$F82,$G82,L$2))</f>
        <v>195, 195, 188</v>
      </c>
    </row>
    <row r="83" spans="1:12" x14ac:dyDescent="0.25">
      <c r="A83" t="s">
        <v>425</v>
      </c>
      <c r="B83" s="5">
        <v>14480885</v>
      </c>
      <c r="C83" s="83" t="s">
        <v>426</v>
      </c>
      <c r="D83" s="83" t="s">
        <v>427</v>
      </c>
      <c r="F83" s="7" cm="1">
        <f t="array" ref="F83:H83">rgb_to_hsl(C83)</f>
        <v>60</v>
      </c>
      <c r="G83" s="7">
        <v>10.204081632653059</v>
      </c>
      <c r="H83" s="7">
        <v>91.176470588235304</v>
      </c>
      <c r="J83" s="368" t="str" cm="1">
        <f t="array" ref="J83">hsl_to_rgb(_xlfn.TEXTJOIN(", ",TRUE,$F83,$G83,$H83))</f>
        <v>235, 235, 230</v>
      </c>
      <c r="K83" s="369" t="str" cm="1">
        <f t="array" ref="K83">hsl_to_rgb(_xlfn.TEXTJOIN(", ",TRUE,$F83,$G83,K$2))</f>
        <v>70, 70, 57</v>
      </c>
      <c r="L83" s="370" t="str" cm="1">
        <f t="array" ref="L83">hsl_to_rgb(_xlfn.TEXTJOIN(", ",TRUE,$F83,$G83,L$2))</f>
        <v>198, 198, 185</v>
      </c>
    </row>
    <row r="84" spans="1:12" x14ac:dyDescent="0.25">
      <c r="A84" t="s">
        <v>428</v>
      </c>
      <c r="B84" s="5">
        <v>14745599</v>
      </c>
      <c r="C84" s="84" t="s">
        <v>429</v>
      </c>
      <c r="D84" s="84" t="s">
        <v>430</v>
      </c>
      <c r="F84" s="7" cm="1">
        <f t="array" ref="F84:H84">rgb_to_hsl(C84)</f>
        <v>60</v>
      </c>
      <c r="G84" s="7">
        <v>12.15686274509804</v>
      </c>
      <c r="H84" s="7">
        <v>93.921568627450981</v>
      </c>
      <c r="J84" s="371" t="str" cm="1">
        <f t="array" ref="J84">hsl_to_rgb(_xlfn.TEXTJOIN(", ",TRUE,$F84,$G84,$H84))</f>
        <v>241, 241, 238</v>
      </c>
      <c r="K84" s="372" t="str" cm="1">
        <f t="array" ref="K84">hsl_to_rgb(_xlfn.TEXTJOIN(", ",TRUE,$F84,$G84,K$2))</f>
        <v>71, 71, 56</v>
      </c>
      <c r="L84" s="373" t="str" cm="1">
        <f t="array" ref="L84">hsl_to_rgb(_xlfn.TEXTJOIN(", ",TRUE,$F84,$G84,L$2))</f>
        <v>199, 199, 184</v>
      </c>
    </row>
    <row r="85" spans="1:12" x14ac:dyDescent="0.25">
      <c r="A85" t="s">
        <v>431</v>
      </c>
      <c r="B85" s="5">
        <v>13826810</v>
      </c>
      <c r="C85" s="85" t="s">
        <v>432</v>
      </c>
      <c r="D85" s="85" t="s">
        <v>433</v>
      </c>
      <c r="F85" s="7" cm="1">
        <f t="array" ref="F85:H85">rgb_to_hsl(C85)</f>
        <v>60</v>
      </c>
      <c r="G85" s="7">
        <v>16</v>
      </c>
      <c r="H85" s="7">
        <v>90.196078431372541</v>
      </c>
      <c r="J85" s="374" t="str" cm="1">
        <f t="array" ref="J85">hsl_to_rgb(_xlfn.TEXTJOIN(", ",TRUE,$F85,$G85,$H85))</f>
        <v>234, 234, 226</v>
      </c>
      <c r="K85" s="375" t="str" cm="1">
        <f t="array" ref="K85">hsl_to_rgb(_xlfn.TEXTJOIN(", ",TRUE,$F85,$G85,K$2))</f>
        <v>74, 74, 54</v>
      </c>
      <c r="L85" s="376" t="str" cm="1">
        <f t="array" ref="L85">hsl_to_rgb(_xlfn.TEXTJOIN(", ",TRUE,$F85,$G85,L$2))</f>
        <v>201, 201, 181</v>
      </c>
    </row>
    <row r="86" spans="1:12" x14ac:dyDescent="0.25">
      <c r="A86" t="s">
        <v>434</v>
      </c>
      <c r="B86" s="5">
        <v>32896</v>
      </c>
      <c r="C86" s="86" t="s">
        <v>435</v>
      </c>
      <c r="D86" s="86" t="s">
        <v>436</v>
      </c>
      <c r="F86" s="7" cm="1">
        <f t="array" ref="F86:H86">rgb_to_hsl(C86)</f>
        <v>60</v>
      </c>
      <c r="G86" s="7">
        <v>100</v>
      </c>
      <c r="H86" s="7">
        <v>25.098039215686274</v>
      </c>
      <c r="J86" s="377" t="str" cm="1">
        <f t="array" ref="J86">hsl_to_rgb(_xlfn.TEXTJOIN(", ",TRUE,$F86,$G86,$H86))</f>
        <v>128, 128, 0</v>
      </c>
      <c r="K86" s="377" t="str" cm="1">
        <f t="array" ref="K86">hsl_to_rgb(_xlfn.TEXTJOIN(", ",TRUE,$F86,$G86,K$2))</f>
        <v>128, 128, 0</v>
      </c>
      <c r="L86" s="378" t="str" cm="1">
        <f t="array" ref="L86">hsl_to_rgb(_xlfn.TEXTJOIN(", ",TRUE,$F86,$G86,L$2))</f>
        <v>255, 255, 128</v>
      </c>
    </row>
    <row r="87" spans="1:12" x14ac:dyDescent="0.25">
      <c r="A87" t="s">
        <v>437</v>
      </c>
      <c r="B87" s="5">
        <v>65535</v>
      </c>
      <c r="C87" s="87" t="s">
        <v>438</v>
      </c>
      <c r="D87" s="87" t="s">
        <v>439</v>
      </c>
      <c r="F87" s="7" cm="1">
        <f t="array" ref="F87:H87">rgb_to_hsl(C87)</f>
        <v>60</v>
      </c>
      <c r="G87" s="7">
        <v>100</v>
      </c>
      <c r="H87" s="7">
        <v>50</v>
      </c>
      <c r="J87" s="379" t="str" cm="1">
        <f t="array" ref="J87">hsl_to_rgb(_xlfn.TEXTJOIN(", ",TRUE,$F87,$G87,$H87))</f>
        <v>255, 255, 0</v>
      </c>
      <c r="K87" s="377" t="str" cm="1">
        <f t="array" ref="K87">hsl_to_rgb(_xlfn.TEXTJOIN(", ",TRUE,$F87,$G87,K$2))</f>
        <v>128, 128, 0</v>
      </c>
      <c r="L87" s="378" t="str" cm="1">
        <f t="array" ref="L87">hsl_to_rgb(_xlfn.TEXTJOIN(", ",TRUE,$F87,$G87,L$2))</f>
        <v>255, 255, 128</v>
      </c>
    </row>
    <row r="88" spans="1:12" x14ac:dyDescent="0.25">
      <c r="A88" t="s">
        <v>440</v>
      </c>
      <c r="B88" s="5">
        <v>2330219</v>
      </c>
      <c r="C88" s="88" t="s">
        <v>441</v>
      </c>
      <c r="D88" s="88" t="s">
        <v>442</v>
      </c>
      <c r="F88" s="7" cm="1">
        <f t="array" ref="F88:H88">rgb_to_hsl(C88)</f>
        <v>79.626168224299064</v>
      </c>
      <c r="G88" s="7">
        <v>75.352112676056336</v>
      </c>
      <c r="H88" s="7">
        <v>34.705882352941174</v>
      </c>
      <c r="J88" s="380" t="str" cm="1">
        <f t="array" ref="J88">hsl_to_rgb(_xlfn.TEXTJOIN(", ",TRUE,$F88,$G88,$H88))</f>
        <v>112, 155, 22</v>
      </c>
      <c r="K88" s="381" t="str" cm="1">
        <f t="array" ref="K88">hsl_to_rgb(_xlfn.TEXTJOIN(", ",TRUE,$F88,$G88,K$2))</f>
        <v>80, 112, 16</v>
      </c>
      <c r="L88" s="382" t="str" cm="1">
        <f t="array" ref="L88">hsl_to_rgb(_xlfn.TEXTJOIN(", ",TRUE,$F88,$G88,L$2))</f>
        <v>208, 239, 143</v>
      </c>
    </row>
    <row r="89" spans="1:12" x14ac:dyDescent="0.25">
      <c r="A89" t="s">
        <v>443</v>
      </c>
      <c r="B89" s="5">
        <v>3329434</v>
      </c>
      <c r="C89" s="89" t="s">
        <v>444</v>
      </c>
      <c r="D89" s="89" t="s">
        <v>445</v>
      </c>
      <c r="F89" s="7" cm="1">
        <f t="array" ref="F89:H89">rgb_to_hsl(C89)</f>
        <v>79.741935483870975</v>
      </c>
      <c r="G89" s="7">
        <v>75.609756097560975</v>
      </c>
      <c r="H89" s="7">
        <v>50</v>
      </c>
      <c r="J89" s="383" t="str" cm="1">
        <f t="array" ref="J89">hsl_to_rgb(_xlfn.TEXTJOIN(", ",TRUE,$F89,$G89,$H89))</f>
        <v>160, 224, 31</v>
      </c>
      <c r="K89" s="381" t="str" cm="1">
        <f t="array" ref="K89">hsl_to_rgb(_xlfn.TEXTJOIN(", ",TRUE,$F89,$G89,K$2))</f>
        <v>80, 112, 16</v>
      </c>
      <c r="L89" s="382" t="str" cm="1">
        <f t="array" ref="L89">hsl_to_rgb(_xlfn.TEXTJOIN(", ",TRUE,$F89,$G89,L$2))</f>
        <v>208, 239, 143</v>
      </c>
    </row>
    <row r="90" spans="1:12" x14ac:dyDescent="0.25">
      <c r="A90" t="s">
        <v>446</v>
      </c>
      <c r="B90" s="5">
        <v>3107669</v>
      </c>
      <c r="C90" s="90" t="s">
        <v>447</v>
      </c>
      <c r="D90" s="90" t="s">
        <v>448</v>
      </c>
      <c r="F90" s="7" cm="1">
        <f t="array" ref="F90:H90">rgb_to_hsl(C90)</f>
        <v>82</v>
      </c>
      <c r="G90" s="7">
        <v>56.074766355140184</v>
      </c>
      <c r="H90" s="7">
        <v>30.196078431372552</v>
      </c>
      <c r="J90" s="384" t="str" cm="1">
        <f t="array" ref="J90">hsl_to_rgb(_xlfn.TEXTJOIN(", ",TRUE,$F90,$G90,$H90))</f>
        <v>89, 120, 34</v>
      </c>
      <c r="K90" s="385" t="str" cm="1">
        <f t="array" ref="K90">hsl_to_rgb(_xlfn.TEXTJOIN(", ",TRUE,$F90,$G90,K$2))</f>
        <v>73, 99, 28</v>
      </c>
      <c r="L90" s="386" t="str" cm="1">
        <f t="array" ref="L90">hsl_to_rgb(_xlfn.TEXTJOIN(", ",TRUE,$F90,$G90,L$2))</f>
        <v>201, 227, 156</v>
      </c>
    </row>
    <row r="91" spans="1:12" x14ac:dyDescent="0.25">
      <c r="A91" t="s">
        <v>449</v>
      </c>
      <c r="B91" s="5">
        <v>3145645</v>
      </c>
      <c r="C91" s="91" t="s">
        <v>450</v>
      </c>
      <c r="D91" s="91" t="s">
        <v>451</v>
      </c>
      <c r="F91" s="7" cm="1">
        <f t="array" ref="F91:H91">rgb_to_hsl(C91)</f>
        <v>83.653846153846146</v>
      </c>
      <c r="G91" s="7">
        <v>81.568627450980387</v>
      </c>
      <c r="H91" s="7">
        <v>59.215686274509807</v>
      </c>
      <c r="J91" s="387" t="str" cm="1">
        <f t="array" ref="J91">hsl_to_rgb(_xlfn.TEXTJOIN(", ",TRUE,$F91,$G91,$H91))</f>
        <v>169, 236, 66</v>
      </c>
      <c r="K91" s="388" t="str" cm="1">
        <f t="array" ref="K91">hsl_to_rgb(_xlfn.TEXTJOIN(", ",TRUE,$F91,$G91,K$2))</f>
        <v>75, 116, 12</v>
      </c>
      <c r="L91" s="389" t="str" cm="1">
        <f t="array" ref="L91">hsl_to_rgb(_xlfn.TEXTJOIN(", ",TRUE,$F91,$G91,L$2))</f>
        <v>202, 243, 139</v>
      </c>
    </row>
    <row r="92" spans="1:12" x14ac:dyDescent="0.25">
      <c r="A92" t="s">
        <v>452</v>
      </c>
      <c r="B92" s="5">
        <v>65407</v>
      </c>
      <c r="C92" s="92" t="s">
        <v>453</v>
      </c>
      <c r="D92" s="92" t="s">
        <v>454</v>
      </c>
      <c r="F92" s="7" cm="1">
        <f t="array" ref="F92:H92">rgb_to_hsl(C92)</f>
        <v>90.117647058823536</v>
      </c>
      <c r="G92" s="7">
        <v>100</v>
      </c>
      <c r="H92" s="7">
        <v>50</v>
      </c>
      <c r="J92" s="390" t="str" cm="1">
        <f t="array" ref="J92">hsl_to_rgb(_xlfn.TEXTJOIN(", ",TRUE,$F92,$G92,$H92))</f>
        <v>127, 255, 0</v>
      </c>
      <c r="K92" s="391" t="str" cm="1">
        <f t="array" ref="K92">hsl_to_rgb(_xlfn.TEXTJOIN(", ",TRUE,$F92,$G92,K$2))</f>
        <v>64, 128, 0</v>
      </c>
      <c r="L92" s="392" t="str" cm="1">
        <f t="array" ref="L92">hsl_to_rgb(_xlfn.TEXTJOIN(", ",TRUE,$F92,$G92,L$2))</f>
        <v>191, 255, 128</v>
      </c>
    </row>
    <row r="93" spans="1:12" x14ac:dyDescent="0.25">
      <c r="A93" t="s">
        <v>455</v>
      </c>
      <c r="B93" s="5">
        <v>64636</v>
      </c>
      <c r="C93" s="93" t="s">
        <v>456</v>
      </c>
      <c r="D93" s="93" t="s">
        <v>457</v>
      </c>
      <c r="F93" s="7" cm="1">
        <f t="array" ref="F93:H93">rgb_to_hsl(C93)</f>
        <v>90.476190476190482</v>
      </c>
      <c r="G93" s="7">
        <v>100</v>
      </c>
      <c r="H93" s="7">
        <v>49.411764705882355</v>
      </c>
      <c r="J93" s="393" t="str" cm="1">
        <f t="array" ref="J93">hsl_to_rgb(_xlfn.TEXTJOIN(", ",TRUE,$F93,$G93,$H93))</f>
        <v>124, 252, 0</v>
      </c>
      <c r="K93" s="394" t="str" cm="1">
        <f t="array" ref="K93">hsl_to_rgb(_xlfn.TEXTJOIN(", ",TRUE,$F93,$G93,K$2))</f>
        <v>63, 128, 0</v>
      </c>
      <c r="L93" s="395" t="str" cm="1">
        <f t="array" ref="L93">hsl_to_rgb(_xlfn.TEXTJOIN(", ",TRUE,$F93,$G93,L$2))</f>
        <v>190, 255, 128</v>
      </c>
    </row>
    <row r="94" spans="1:12" x14ac:dyDescent="0.25">
      <c r="A94" t="s">
        <v>458</v>
      </c>
      <c r="B94" s="5">
        <v>15794160</v>
      </c>
      <c r="C94" s="94" t="s">
        <v>459</v>
      </c>
      <c r="D94" s="94" t="s">
        <v>460</v>
      </c>
      <c r="F94" s="7" cm="1">
        <f t="array" ref="F94:H94">rgb_to_hsl(C94)</f>
        <v>120</v>
      </c>
      <c r="G94" s="7">
        <v>5.8823529411764719</v>
      </c>
      <c r="H94" s="7">
        <v>97.058823529411768</v>
      </c>
      <c r="J94" s="396" t="str" cm="1">
        <f t="array" ref="J94">hsl_to_rgb(_xlfn.TEXTJOIN(", ",TRUE,$F94,$G94,$H94))</f>
        <v>247, 248, 247</v>
      </c>
      <c r="K94" s="397" t="str" cm="1">
        <f t="array" ref="K94">hsl_to_rgb(_xlfn.TEXTJOIN(", ",TRUE,$F94,$G94,K$2))</f>
        <v>60, 68, 60</v>
      </c>
      <c r="L94" s="398" t="str" cm="1">
        <f t="array" ref="L94">hsl_to_rgb(_xlfn.TEXTJOIN(", ",TRUE,$F94,$G94,L$2))</f>
        <v>188, 195, 188</v>
      </c>
    </row>
    <row r="95" spans="1:12" x14ac:dyDescent="0.25">
      <c r="A95" t="s">
        <v>461</v>
      </c>
      <c r="B95" s="5">
        <v>9419919</v>
      </c>
      <c r="C95" s="95" t="s">
        <v>462</v>
      </c>
      <c r="D95" s="95" t="s">
        <v>463</v>
      </c>
      <c r="F95" s="7" cm="1">
        <f t="array" ref="F95:H95">rgb_to_hsl(C95)</f>
        <v>120</v>
      </c>
      <c r="G95" s="7">
        <v>23.936170212765962</v>
      </c>
      <c r="H95" s="7">
        <v>64.901960784313729</v>
      </c>
      <c r="J95" s="399" t="str" cm="1">
        <f t="array" ref="J95">hsl_to_rgb(_xlfn.TEXTJOIN(", ",TRUE,$F95,$G95,$H95))</f>
        <v>144, 187, 144</v>
      </c>
      <c r="K95" s="400" t="str" cm="1">
        <f t="array" ref="K95">hsl_to_rgb(_xlfn.TEXTJOIN(", ",TRUE,$F95,$G95,K$2))</f>
        <v>48, 79, 48</v>
      </c>
      <c r="L95" s="401" t="str" cm="1">
        <f t="array" ref="L95">hsl_to_rgb(_xlfn.TEXTJOIN(", ",TRUE,$F95,$G95,L$2))</f>
        <v>176, 207, 176</v>
      </c>
    </row>
    <row r="96" spans="1:12" x14ac:dyDescent="0.25">
      <c r="A96" t="s">
        <v>464</v>
      </c>
      <c r="B96" s="5">
        <v>10025880</v>
      </c>
      <c r="C96" s="96" t="s">
        <v>465</v>
      </c>
      <c r="D96" s="96" t="s">
        <v>466</v>
      </c>
      <c r="F96" s="7" cm="1">
        <f t="array" ref="F96:H96">rgb_to_hsl(C96)</f>
        <v>120</v>
      </c>
      <c r="G96" s="7">
        <v>39.442231075697208</v>
      </c>
      <c r="H96" s="7">
        <v>79.019607843137251</v>
      </c>
      <c r="J96" s="402" t="str" cm="1">
        <f t="array" ref="J96">hsl_to_rgb(_xlfn.TEXTJOIN(", ",TRUE,$F96,$G96,$H96))</f>
        <v>180, 223, 180</v>
      </c>
      <c r="K96" s="403" t="str" cm="1">
        <f t="array" ref="K96">hsl_to_rgb(_xlfn.TEXTJOIN(", ",TRUE,$F96,$G96,K$2))</f>
        <v>39, 89, 39</v>
      </c>
      <c r="L96" s="404" t="str" cm="1">
        <f t="array" ref="L96">hsl_to_rgb(_xlfn.TEXTJOIN(", ",TRUE,$F96,$G96,L$2))</f>
        <v>166, 216, 166</v>
      </c>
    </row>
    <row r="97" spans="1:12" x14ac:dyDescent="0.25">
      <c r="A97" t="s">
        <v>467</v>
      </c>
      <c r="B97" s="5">
        <v>9498256</v>
      </c>
      <c r="C97" s="97" t="s">
        <v>468</v>
      </c>
      <c r="D97" s="97" t="s">
        <v>469</v>
      </c>
      <c r="F97" s="7" cm="1">
        <f t="array" ref="F97:H97">rgb_to_hsl(C97)</f>
        <v>120</v>
      </c>
      <c r="G97" s="7">
        <v>39.495798319327733</v>
      </c>
      <c r="H97" s="7">
        <v>74.901960784313729</v>
      </c>
      <c r="J97" s="404" t="str" cm="1">
        <f t="array" ref="J97">hsl_to_rgb(_xlfn.TEXTJOIN(", ",TRUE,$F97,$G97,$H97))</f>
        <v>166, 216, 166</v>
      </c>
      <c r="K97" s="403" t="str" cm="1">
        <f t="array" ref="K97">hsl_to_rgb(_xlfn.TEXTJOIN(", ",TRUE,$F97,$G97,K$2))</f>
        <v>39, 89, 39</v>
      </c>
      <c r="L97" s="404" t="str" cm="1">
        <f t="array" ref="L97">hsl_to_rgb(_xlfn.TEXTJOIN(", ",TRUE,$F97,$G97,L$2))</f>
        <v>166, 216, 166</v>
      </c>
    </row>
    <row r="98" spans="1:12" x14ac:dyDescent="0.25">
      <c r="A98" t="s">
        <v>470</v>
      </c>
      <c r="B98" s="5">
        <v>2263842</v>
      </c>
      <c r="C98" s="98" t="s">
        <v>471</v>
      </c>
      <c r="D98" s="98" t="s">
        <v>472</v>
      </c>
      <c r="F98" s="7" cm="1">
        <f t="array" ref="F98:H98">rgb_to_hsl(C98)</f>
        <v>120</v>
      </c>
      <c r="G98" s="7">
        <v>75.539568345323744</v>
      </c>
      <c r="H98" s="7">
        <v>33.921568627450974</v>
      </c>
      <c r="J98" s="405" t="str" cm="1">
        <f t="array" ref="J98">hsl_to_rgb(_xlfn.TEXTJOIN(", ",TRUE,$F98,$G98,$H98))</f>
        <v>21, 152, 21</v>
      </c>
      <c r="K98" s="406" t="str" cm="1">
        <f t="array" ref="K98">hsl_to_rgb(_xlfn.TEXTJOIN(", ",TRUE,$F98,$G98,K$2))</f>
        <v>16, 112, 16</v>
      </c>
      <c r="L98" s="407" t="str" cm="1">
        <f t="array" ref="L98">hsl_to_rgb(_xlfn.TEXTJOIN(", ",TRUE,$F98,$G98,L$2))</f>
        <v>143, 239, 143</v>
      </c>
    </row>
    <row r="99" spans="1:12" x14ac:dyDescent="0.25">
      <c r="A99" t="s">
        <v>473</v>
      </c>
      <c r="B99" s="5">
        <v>3329330</v>
      </c>
      <c r="C99" s="99" t="s">
        <v>474</v>
      </c>
      <c r="D99" s="99" t="s">
        <v>475</v>
      </c>
      <c r="F99" s="7" cm="1">
        <f t="array" ref="F99:H99">rgb_to_hsl(C99)</f>
        <v>120</v>
      </c>
      <c r="G99" s="7">
        <v>75.609756097560975</v>
      </c>
      <c r="H99" s="7">
        <v>50</v>
      </c>
      <c r="J99" s="408" t="str" cm="1">
        <f t="array" ref="J99">hsl_to_rgb(_xlfn.TEXTJOIN(", ",TRUE,$F99,$G99,$H99))</f>
        <v>31, 224, 31</v>
      </c>
      <c r="K99" s="406" t="str" cm="1">
        <f t="array" ref="K99">hsl_to_rgb(_xlfn.TEXTJOIN(", ",TRUE,$F99,$G99,K$2))</f>
        <v>16, 112, 16</v>
      </c>
      <c r="L99" s="407" t="str" cm="1">
        <f t="array" ref="L99">hsl_to_rgb(_xlfn.TEXTJOIN(", ",TRUE,$F99,$G99,L$2))</f>
        <v>143, 239, 143</v>
      </c>
    </row>
    <row r="100" spans="1:12" x14ac:dyDescent="0.25">
      <c r="A100" t="s">
        <v>476</v>
      </c>
      <c r="B100" s="5">
        <v>25600</v>
      </c>
      <c r="C100" s="100" t="s">
        <v>477</v>
      </c>
      <c r="D100" s="100" t="s">
        <v>478</v>
      </c>
      <c r="F100" s="7" cm="1">
        <f t="array" ref="F100:H100">rgb_to_hsl(C100)</f>
        <v>120</v>
      </c>
      <c r="G100" s="7">
        <v>100</v>
      </c>
      <c r="H100" s="7">
        <v>19.607843137254903</v>
      </c>
      <c r="J100" s="409" t="str" cm="1">
        <f t="array" ref="J100">hsl_to_rgb(_xlfn.TEXTJOIN(", ",TRUE,$F100,$G100,$H100))</f>
        <v>0, 100, 0</v>
      </c>
      <c r="K100" s="410" t="str" cm="1">
        <f t="array" ref="K100">hsl_to_rgb(_xlfn.TEXTJOIN(", ",TRUE,$F100,$G100,K$2))</f>
        <v>0, 128, 0</v>
      </c>
      <c r="L100" s="411" t="str" cm="1">
        <f t="array" ref="L100">hsl_to_rgb(_xlfn.TEXTJOIN(", ",TRUE,$F100,$G100,L$2))</f>
        <v>128, 255, 128</v>
      </c>
    </row>
    <row r="101" spans="1:12" x14ac:dyDescent="0.25">
      <c r="A101" t="s">
        <v>479</v>
      </c>
      <c r="B101" s="5">
        <v>32768</v>
      </c>
      <c r="C101" s="101" t="s">
        <v>480</v>
      </c>
      <c r="D101" s="101" t="s">
        <v>481</v>
      </c>
      <c r="F101" s="7" cm="1">
        <f t="array" ref="F101:H101">rgb_to_hsl(C101)</f>
        <v>120</v>
      </c>
      <c r="G101" s="7">
        <v>100</v>
      </c>
      <c r="H101" s="7">
        <v>25.098039215686274</v>
      </c>
      <c r="J101" s="410" t="str" cm="1">
        <f t="array" ref="J101">hsl_to_rgb(_xlfn.TEXTJOIN(", ",TRUE,$F101,$G101,$H101))</f>
        <v>0, 128, 0</v>
      </c>
      <c r="K101" s="410" t="str" cm="1">
        <f t="array" ref="K101">hsl_to_rgb(_xlfn.TEXTJOIN(", ",TRUE,$F101,$G101,K$2))</f>
        <v>0, 128, 0</v>
      </c>
      <c r="L101" s="411" t="str" cm="1">
        <f t="array" ref="L101">hsl_to_rgb(_xlfn.TEXTJOIN(", ",TRUE,$F101,$G101,L$2))</f>
        <v>128, 255, 128</v>
      </c>
    </row>
    <row r="102" spans="1:12" x14ac:dyDescent="0.25">
      <c r="A102" t="s">
        <v>482</v>
      </c>
      <c r="B102" s="5">
        <v>65280</v>
      </c>
      <c r="C102" s="102" t="s">
        <v>483</v>
      </c>
      <c r="D102" s="102" t="s">
        <v>484</v>
      </c>
      <c r="F102" s="7" cm="1">
        <f t="array" ref="F102:H102">rgb_to_hsl(C102)</f>
        <v>120</v>
      </c>
      <c r="G102" s="7">
        <v>100</v>
      </c>
      <c r="H102" s="7">
        <v>50</v>
      </c>
      <c r="J102" s="412" t="str" cm="1">
        <f t="array" ref="J102">hsl_to_rgb(_xlfn.TEXTJOIN(", ",TRUE,$F102,$G102,$H102))</f>
        <v>0, 255, 0</v>
      </c>
      <c r="K102" s="410" t="str" cm="1">
        <f t="array" ref="K102">hsl_to_rgb(_xlfn.TEXTJOIN(", ",TRUE,$F102,$G102,K$2))</f>
        <v>0, 128, 0</v>
      </c>
      <c r="L102" s="411" t="str" cm="1">
        <f t="array" ref="L102">hsl_to_rgb(_xlfn.TEXTJOIN(", ",TRUE,$F102,$G102,L$2))</f>
        <v>128, 255, 128</v>
      </c>
    </row>
    <row r="103" spans="1:12" x14ac:dyDescent="0.25">
      <c r="A103" t="s">
        <v>485</v>
      </c>
      <c r="B103" s="5">
        <v>5737262</v>
      </c>
      <c r="C103" s="103" t="s">
        <v>486</v>
      </c>
      <c r="D103" s="103" t="s">
        <v>487</v>
      </c>
      <c r="F103" s="7" cm="1">
        <f t="array" ref="F103:H103">rgb_to_hsl(C103)</f>
        <v>146.45161290322582</v>
      </c>
      <c r="G103" s="7">
        <v>66.906474820143885</v>
      </c>
      <c r="H103" s="7">
        <v>36.274509803921568</v>
      </c>
      <c r="J103" s="413" t="str" cm="1">
        <f t="array" ref="J103">hsl_to_rgb(_xlfn.TEXTJOIN(", ",TRUE,$F103,$G103,$H103))</f>
        <v>31, 154, 85</v>
      </c>
      <c r="K103" s="414" t="str" cm="1">
        <f t="array" ref="K103">hsl_to_rgb(_xlfn.TEXTJOIN(", ",TRUE,$F103,$G103,K$2))</f>
        <v>21, 106, 59</v>
      </c>
      <c r="L103" s="415" t="str" cm="1">
        <f t="array" ref="L103">hsl_to_rgb(_xlfn.TEXTJOIN(", ",TRUE,$F103,$G103,L$2))</f>
        <v>149, 234, 186</v>
      </c>
    </row>
    <row r="104" spans="1:12" x14ac:dyDescent="0.25">
      <c r="A104" t="s">
        <v>488</v>
      </c>
      <c r="B104" s="5">
        <v>7451452</v>
      </c>
      <c r="C104" s="104" t="s">
        <v>489</v>
      </c>
      <c r="D104" s="104" t="s">
        <v>490</v>
      </c>
      <c r="F104" s="7" cm="1">
        <f t="array" ref="F104:H104">rgb_to_hsl(C104)</f>
        <v>146.72268907563026</v>
      </c>
      <c r="G104" s="7">
        <v>66.480446927374302</v>
      </c>
      <c r="H104" s="7">
        <v>46.862745098039213</v>
      </c>
      <c r="J104" s="416" t="str" cm="1">
        <f t="array" ref="J104">hsl_to_rgb(_xlfn.TEXTJOIN(", ",TRUE,$F104,$G104,$H104))</f>
        <v>40, 199, 111</v>
      </c>
      <c r="K104" s="414" t="str" cm="1">
        <f t="array" ref="K104">hsl_to_rgb(_xlfn.TEXTJOIN(", ",TRUE,$F104,$G104,K$2))</f>
        <v>21, 106, 59</v>
      </c>
      <c r="L104" s="417" t="str" cm="1">
        <f t="array" ref="L104">hsl_to_rgb(_xlfn.TEXTJOIN(", ",TRUE,$F104,$G104,L$2))</f>
        <v>149, 234, 187</v>
      </c>
    </row>
    <row r="105" spans="1:12" x14ac:dyDescent="0.25">
      <c r="A105" t="s">
        <v>491</v>
      </c>
      <c r="B105" s="5">
        <v>8388352</v>
      </c>
      <c r="C105" s="105" t="s">
        <v>492</v>
      </c>
      <c r="D105" s="105" t="s">
        <v>493</v>
      </c>
      <c r="F105" s="7" cm="1">
        <f t="array" ref="F105:H105">rgb_to_hsl(C105)</f>
        <v>149.88235294117646</v>
      </c>
      <c r="G105" s="7">
        <v>100</v>
      </c>
      <c r="H105" s="7">
        <v>50</v>
      </c>
      <c r="J105" s="418" t="str" cm="1">
        <f t="array" ref="J105">hsl_to_rgb(_xlfn.TEXTJOIN(", ",TRUE,$F105,$G105,$H105))</f>
        <v>0, 255, 127</v>
      </c>
      <c r="K105" s="419" t="str" cm="1">
        <f t="array" ref="K105">hsl_to_rgb(_xlfn.TEXTJOIN(", ",TRUE,$F105,$G105,K$2))</f>
        <v>0, 128, 63</v>
      </c>
      <c r="L105" s="420" t="str" cm="1">
        <f t="array" ref="L105">hsl_to_rgb(_xlfn.TEXTJOIN(", ",TRUE,$F105,$G105,L$2))</f>
        <v>128, 255, 191</v>
      </c>
    </row>
    <row r="106" spans="1:12" x14ac:dyDescent="0.25">
      <c r="A106" t="s">
        <v>494</v>
      </c>
      <c r="B106" s="5">
        <v>16449525</v>
      </c>
      <c r="C106" s="106" t="s">
        <v>495</v>
      </c>
      <c r="D106" s="106" t="s">
        <v>496</v>
      </c>
      <c r="F106" s="7" cm="1">
        <f t="array" ref="F106:H106">rgb_to_hsl(C106)</f>
        <v>149.99999999999991</v>
      </c>
      <c r="G106" s="7">
        <v>3.9215686274509776</v>
      </c>
      <c r="H106" s="7">
        <v>98.039215686274517</v>
      </c>
      <c r="J106" s="421" t="str" cm="1">
        <f t="array" ref="J106">hsl_to_rgb(_xlfn.TEXTJOIN(", ",TRUE,$F106,$G106,$H106))</f>
        <v>250, 250, 250</v>
      </c>
      <c r="K106" s="422" t="str" cm="1">
        <f t="array" ref="K106">hsl_to_rgb(_xlfn.TEXTJOIN(", ",TRUE,$F106,$G106,K$2))</f>
        <v>61, 66, 64</v>
      </c>
      <c r="L106" s="423" t="str" cm="1">
        <f t="array" ref="L106">hsl_to_rgb(_xlfn.TEXTJOIN(", ",TRUE,$F106,$G106,L$2))</f>
        <v>189, 194, 191</v>
      </c>
    </row>
    <row r="107" spans="1:12" x14ac:dyDescent="0.25">
      <c r="A107" t="s">
        <v>497</v>
      </c>
      <c r="B107" s="5">
        <v>10156544</v>
      </c>
      <c r="C107" s="107" t="s">
        <v>498</v>
      </c>
      <c r="D107" s="107" t="s">
        <v>499</v>
      </c>
      <c r="F107" s="7" cm="1">
        <f t="array" ref="F107:H107">rgb_to_hsl(C107)</f>
        <v>156.96</v>
      </c>
      <c r="G107" s="7">
        <v>100</v>
      </c>
      <c r="H107" s="7">
        <v>49.019607843137251</v>
      </c>
      <c r="J107" s="424" t="str" cm="1">
        <f t="array" ref="J107">hsl_to_rgb(_xlfn.TEXTJOIN(", ",TRUE,$F107,$G107,$H107))</f>
        <v>0, 250, 154</v>
      </c>
      <c r="K107" s="425" t="str" cm="1">
        <f t="array" ref="K107">hsl_to_rgb(_xlfn.TEXTJOIN(", ",TRUE,$F107,$G107,K$2))</f>
        <v>0, 128, 79</v>
      </c>
      <c r="L107" s="426" t="str" cm="1">
        <f t="array" ref="L107">hsl_to_rgb(_xlfn.TEXTJOIN(", ",TRUE,$F107,$G107,L$2))</f>
        <v>128, 255, 206</v>
      </c>
    </row>
    <row r="108" spans="1:12" x14ac:dyDescent="0.25">
      <c r="A108" t="s">
        <v>500</v>
      </c>
      <c r="B108" s="5">
        <v>11193702</v>
      </c>
      <c r="C108" s="108" t="s">
        <v>501</v>
      </c>
      <c r="D108" s="108" t="s">
        <v>502</v>
      </c>
      <c r="F108" s="7" cm="1">
        <f t="array" ref="F108:H108">rgb_to_hsl(C108)</f>
        <v>159.61165048543688</v>
      </c>
      <c r="G108" s="7">
        <v>50.243902439024389</v>
      </c>
      <c r="H108" s="7">
        <v>60.196078431372555</v>
      </c>
      <c r="J108" s="427" t="str" cm="1">
        <f t="array" ref="J108">hsl_to_rgb(_xlfn.TEXTJOIN(", ",TRUE,$F108,$G108,$H108))</f>
        <v>103, 204, 170</v>
      </c>
      <c r="K108" s="428" t="str" cm="1">
        <f t="array" ref="K108">hsl_to_rgb(_xlfn.TEXTJOIN(", ",TRUE,$F108,$G108,K$2))</f>
        <v>32, 96, 74</v>
      </c>
      <c r="L108" s="429" t="str" cm="1">
        <f t="array" ref="L108">hsl_to_rgb(_xlfn.TEXTJOIN(", ",TRUE,$F108,$G108,L$2))</f>
        <v>159, 223, 202</v>
      </c>
    </row>
    <row r="109" spans="1:12" x14ac:dyDescent="0.25">
      <c r="A109" t="s">
        <v>503</v>
      </c>
      <c r="B109" s="5">
        <v>13959039</v>
      </c>
      <c r="C109" s="109" t="s">
        <v>504</v>
      </c>
      <c r="D109" s="109" t="s">
        <v>505</v>
      </c>
      <c r="F109" s="7" cm="1">
        <f t="array" ref="F109:H109">rgb_to_hsl(C109)</f>
        <v>159.84375</v>
      </c>
      <c r="G109" s="7">
        <v>50.196078431372548</v>
      </c>
      <c r="H109" s="7">
        <v>74.901960784313729</v>
      </c>
      <c r="J109" s="429" t="str" cm="1">
        <f t="array" ref="J109">hsl_to_rgb(_xlfn.TEXTJOIN(", ",TRUE,$F109,$G109,$H109))</f>
        <v>159, 223, 202</v>
      </c>
      <c r="K109" s="428" t="str" cm="1">
        <f t="array" ref="K109">hsl_to_rgb(_xlfn.TEXTJOIN(", ",TRUE,$F109,$G109,K$2))</f>
        <v>32, 96, 74</v>
      </c>
      <c r="L109" s="429" t="str" cm="1">
        <f t="array" ref="L109">hsl_to_rgb(_xlfn.TEXTJOIN(", ",TRUE,$F109,$G109,L$2))</f>
        <v>159, 223, 202</v>
      </c>
    </row>
    <row r="110" spans="1:12" x14ac:dyDescent="0.25">
      <c r="A110" t="s">
        <v>506</v>
      </c>
      <c r="B110" s="5">
        <v>13688896</v>
      </c>
      <c r="C110" s="110" t="s">
        <v>507</v>
      </c>
      <c r="D110" s="110" t="s">
        <v>508</v>
      </c>
      <c r="F110" s="7" cm="1">
        <f t="array" ref="F110:H110">rgb_to_hsl(C110)</f>
        <v>174</v>
      </c>
      <c r="G110" s="7">
        <v>71.428571428571431</v>
      </c>
      <c r="H110" s="7">
        <v>56.470588235294116</v>
      </c>
      <c r="J110" s="430" t="str" cm="1">
        <f t="array" ref="J110">hsl_to_rgb(_xlfn.TEXTJOIN(", ",TRUE,$F110,$G110,$H110))</f>
        <v>65, 223, 207</v>
      </c>
      <c r="K110" s="431" t="str" cm="1">
        <f t="array" ref="K110">hsl_to_rgb(_xlfn.TEXTJOIN(", ",TRUE,$F110,$G110,K$2))</f>
        <v>18, 109, 100</v>
      </c>
      <c r="L110" s="432" t="str" cm="1">
        <f t="array" ref="L110">hsl_to_rgb(_xlfn.TEXTJOIN(", ",TRUE,$F110,$G110,L$2))</f>
        <v>146, 237, 228</v>
      </c>
    </row>
    <row r="111" spans="1:12" x14ac:dyDescent="0.25">
      <c r="A111" t="s">
        <v>509</v>
      </c>
      <c r="B111" s="5">
        <v>11186720</v>
      </c>
      <c r="C111" s="111" t="s">
        <v>510</v>
      </c>
      <c r="D111" s="111" t="s">
        <v>511</v>
      </c>
      <c r="F111" s="7" cm="1">
        <f t="array" ref="F111:H111">rgb_to_hsl(C111)</f>
        <v>176.7123287671233</v>
      </c>
      <c r="G111" s="7">
        <v>82.022471910112358</v>
      </c>
      <c r="H111" s="7">
        <v>41.17647058823529</v>
      </c>
      <c r="J111" s="433" t="str" cm="1">
        <f t="array" ref="J111">hsl_to_rgb(_xlfn.TEXTJOIN(", ",TRUE,$F111,$G111,$H111))</f>
        <v>19, 191, 182</v>
      </c>
      <c r="K111" s="434" t="str" cm="1">
        <f t="array" ref="K111">hsl_to_rgb(_xlfn.TEXTJOIN(", ",TRUE,$F111,$G111,K$2))</f>
        <v>11, 116, 110</v>
      </c>
      <c r="L111" s="435" t="str" cm="1">
        <f t="array" ref="L111">hsl_to_rgb(_xlfn.TEXTJOIN(", ",TRUE,$F111,$G111,L$2))</f>
        <v>139, 244, 238</v>
      </c>
    </row>
    <row r="112" spans="1:12" x14ac:dyDescent="0.25">
      <c r="A112" t="s">
        <v>512</v>
      </c>
      <c r="B112" s="5">
        <v>13422920</v>
      </c>
      <c r="C112" s="112" t="s">
        <v>513</v>
      </c>
      <c r="D112" s="112" t="s">
        <v>514</v>
      </c>
      <c r="F112" s="7" cm="1">
        <f t="array" ref="F112:H112">rgb_to_hsl(C112)</f>
        <v>177.8102189781022</v>
      </c>
      <c r="G112" s="7">
        <v>65.550239234449762</v>
      </c>
      <c r="H112" s="7">
        <v>55.098039215686278</v>
      </c>
      <c r="J112" s="436" t="str" cm="1">
        <f t="array" ref="J112">hsl_to_rgb(_xlfn.TEXTJOIN(", ",TRUE,$F112,$G112,$H112))</f>
        <v>65, 216, 210</v>
      </c>
      <c r="K112" s="437" t="str" cm="1">
        <f t="array" ref="K112">hsl_to_rgb(_xlfn.TEXTJOIN(", ",TRUE,$F112,$G112,K$2))</f>
        <v>22, 106, 102</v>
      </c>
      <c r="L112" s="438" t="str" cm="1">
        <f t="array" ref="L112">hsl_to_rgb(_xlfn.TEXTJOIN(", ",TRUE,$F112,$G112,L$2))</f>
        <v>149, 233, 230</v>
      </c>
    </row>
    <row r="113" spans="1:12" x14ac:dyDescent="0.25">
      <c r="A113" t="s">
        <v>515</v>
      </c>
      <c r="B113" s="5">
        <v>16777200</v>
      </c>
      <c r="C113" s="113" t="s">
        <v>516</v>
      </c>
      <c r="D113" s="113" t="s">
        <v>517</v>
      </c>
      <c r="F113" s="7" cm="1">
        <f t="array" ref="F113:H113">rgb_to_hsl(C113)</f>
        <v>180</v>
      </c>
      <c r="G113" s="7">
        <v>5.8823529411764719</v>
      </c>
      <c r="H113" s="7">
        <v>97.058823529411768</v>
      </c>
      <c r="J113" s="439" t="str" cm="1">
        <f t="array" ref="J113">hsl_to_rgb(_xlfn.TEXTJOIN(", ",TRUE,$F113,$G113,$H113))</f>
        <v>247, 248, 248</v>
      </c>
      <c r="K113" s="440" t="str" cm="1">
        <f t="array" ref="K113">hsl_to_rgb(_xlfn.TEXTJOIN(", ",TRUE,$F113,$G113,K$2))</f>
        <v>60, 68, 68</v>
      </c>
      <c r="L113" s="441" t="str" cm="1">
        <f t="array" ref="L113">hsl_to_rgb(_xlfn.TEXTJOIN(", ",TRUE,$F113,$G113,L$2))</f>
        <v>188, 195, 195</v>
      </c>
    </row>
    <row r="114" spans="1:12" x14ac:dyDescent="0.25">
      <c r="A114" t="s">
        <v>518</v>
      </c>
      <c r="B114" s="5">
        <v>16777184</v>
      </c>
      <c r="C114" s="114" t="s">
        <v>519</v>
      </c>
      <c r="D114" s="114" t="s">
        <v>520</v>
      </c>
      <c r="F114" s="7" cm="1">
        <f t="array" ref="F114:H114">rgb_to_hsl(C114)</f>
        <v>180</v>
      </c>
      <c r="G114" s="7">
        <v>12.15686274509804</v>
      </c>
      <c r="H114" s="7">
        <v>93.921568627450981</v>
      </c>
      <c r="J114" s="442" t="str" cm="1">
        <f t="array" ref="J114">hsl_to_rgb(_xlfn.TEXTJOIN(", ",TRUE,$F114,$G114,$H114))</f>
        <v>238, 241, 241</v>
      </c>
      <c r="K114" s="443" t="str" cm="1">
        <f t="array" ref="K114">hsl_to_rgb(_xlfn.TEXTJOIN(", ",TRUE,$F114,$G114,K$2))</f>
        <v>56, 71, 71</v>
      </c>
      <c r="L114" s="444" t="str" cm="1">
        <f t="array" ref="L114">hsl_to_rgb(_xlfn.TEXTJOIN(", ",TRUE,$F114,$G114,L$2))</f>
        <v>184, 199, 199</v>
      </c>
    </row>
    <row r="115" spans="1:12" x14ac:dyDescent="0.25">
      <c r="A115" t="s">
        <v>521</v>
      </c>
      <c r="B115" s="5">
        <v>15658671</v>
      </c>
      <c r="C115" s="115" t="s">
        <v>522</v>
      </c>
      <c r="D115" s="115" t="s">
        <v>523</v>
      </c>
      <c r="F115" s="7" cm="1">
        <f t="array" ref="F115:H115">rgb_to_hsl(C115)</f>
        <v>180</v>
      </c>
      <c r="G115" s="7">
        <v>26.47058823529412</v>
      </c>
      <c r="H115" s="7">
        <v>80.980392156862749</v>
      </c>
      <c r="J115" s="445" t="str" cm="1">
        <f t="array" ref="J115">hsl_to_rgb(_xlfn.TEXTJOIN(", ",TRUE,$F115,$G115,$H115))</f>
        <v>194, 219, 219</v>
      </c>
      <c r="K115" s="446" t="str" cm="1">
        <f t="array" ref="K115">hsl_to_rgb(_xlfn.TEXTJOIN(", ",TRUE,$F115,$G115,K$2))</f>
        <v>47, 81, 81</v>
      </c>
      <c r="L115" s="447" t="str" cm="1">
        <f t="array" ref="L115">hsl_to_rgb(_xlfn.TEXTJOIN(", ",TRUE,$F115,$G115,L$2))</f>
        <v>174, 208, 208</v>
      </c>
    </row>
    <row r="116" spans="1:12" x14ac:dyDescent="0.25">
      <c r="A116" t="s">
        <v>524</v>
      </c>
      <c r="B116" s="5">
        <v>5197615</v>
      </c>
      <c r="C116" s="116" t="s">
        <v>525</v>
      </c>
      <c r="D116" s="116" t="s">
        <v>526</v>
      </c>
      <c r="F116" s="7" cm="1">
        <f t="array" ref="F116:H116">rgb_to_hsl(C116)</f>
        <v>180</v>
      </c>
      <c r="G116" s="7">
        <v>40.506329113924053</v>
      </c>
      <c r="H116" s="7">
        <v>24.705882352941178</v>
      </c>
      <c r="J116" s="448" t="str" cm="1">
        <f t="array" ref="J116">hsl_to_rgb(_xlfn.TEXTJOIN(", ",TRUE,$F116,$G116,$H116))</f>
        <v>37, 89, 89</v>
      </c>
      <c r="K116" s="449" t="str" cm="1">
        <f t="array" ref="K116">hsl_to_rgb(_xlfn.TEXTJOIN(", ",TRUE,$F116,$G116,K$2))</f>
        <v>38, 90, 90</v>
      </c>
      <c r="L116" s="450" t="str" cm="1">
        <f t="array" ref="L116">hsl_to_rgb(_xlfn.TEXTJOIN(", ",TRUE,$F116,$G116,L$2))</f>
        <v>165, 217, 217</v>
      </c>
    </row>
    <row r="117" spans="1:12" x14ac:dyDescent="0.25">
      <c r="A117" t="s">
        <v>527</v>
      </c>
      <c r="B117" s="5">
        <v>8421376</v>
      </c>
      <c r="C117" s="117" t="s">
        <v>528</v>
      </c>
      <c r="D117" s="117" t="s">
        <v>529</v>
      </c>
      <c r="F117" s="7" cm="1">
        <f t="array" ref="F117:H117">rgb_to_hsl(C117)</f>
        <v>180</v>
      </c>
      <c r="G117" s="7">
        <v>100</v>
      </c>
      <c r="H117" s="7">
        <v>25.098039215686274</v>
      </c>
      <c r="J117" s="451" t="str" cm="1">
        <f t="array" ref="J117">hsl_to_rgb(_xlfn.TEXTJOIN(", ",TRUE,$F117,$G117,$H117))</f>
        <v>0, 128, 128</v>
      </c>
      <c r="K117" s="451" t="str" cm="1">
        <f t="array" ref="K117">hsl_to_rgb(_xlfn.TEXTJOIN(", ",TRUE,$F117,$G117,K$2))</f>
        <v>0, 128, 128</v>
      </c>
      <c r="L117" s="452" t="str" cm="1">
        <f t="array" ref="L117">hsl_to_rgb(_xlfn.TEXTJOIN(", ",TRUE,$F117,$G117,L$2))</f>
        <v>128, 255, 255</v>
      </c>
    </row>
    <row r="118" spans="1:12" x14ac:dyDescent="0.25">
      <c r="A118" t="s">
        <v>530</v>
      </c>
      <c r="B118" s="5">
        <v>9145088</v>
      </c>
      <c r="C118" s="118" t="s">
        <v>531</v>
      </c>
      <c r="D118" s="118" t="s">
        <v>532</v>
      </c>
      <c r="F118" s="7" cm="1">
        <f t="array" ref="F118:H118">rgb_to_hsl(C118)</f>
        <v>180</v>
      </c>
      <c r="G118" s="7">
        <v>100</v>
      </c>
      <c r="H118" s="7">
        <v>27.254901960784313</v>
      </c>
      <c r="J118" s="453" t="str" cm="1">
        <f t="array" ref="J118">hsl_to_rgb(_xlfn.TEXTJOIN(", ",TRUE,$F118,$G118,$H118))</f>
        <v>0, 139, 139</v>
      </c>
      <c r="K118" s="451" t="str" cm="1">
        <f t="array" ref="K118">hsl_to_rgb(_xlfn.TEXTJOIN(", ",TRUE,$F118,$G118,K$2))</f>
        <v>0, 128, 128</v>
      </c>
      <c r="L118" s="452" t="str" cm="1">
        <f t="array" ref="L118">hsl_to_rgb(_xlfn.TEXTJOIN(", ",TRUE,$F118,$G118,L$2))</f>
        <v>128, 255, 255</v>
      </c>
    </row>
    <row r="119" spans="1:12" x14ac:dyDescent="0.25">
      <c r="A119" t="s">
        <v>533</v>
      </c>
      <c r="B119" s="5">
        <v>16776960</v>
      </c>
      <c r="C119" s="119" t="s">
        <v>534</v>
      </c>
      <c r="D119" s="119" t="s">
        <v>535</v>
      </c>
      <c r="F119" s="7" cm="1">
        <f t="array" ref="F119:H119">rgb_to_hsl(C119)</f>
        <v>180</v>
      </c>
      <c r="G119" s="7">
        <v>100</v>
      </c>
      <c r="H119" s="7">
        <v>50</v>
      </c>
      <c r="J119" s="454" t="str" cm="1">
        <f t="array" ref="J119">hsl_to_rgb(_xlfn.TEXTJOIN(", ",TRUE,$F119,$G119,$H119))</f>
        <v>0, 255, 255</v>
      </c>
      <c r="K119" s="451" t="str" cm="1">
        <f t="array" ref="K119">hsl_to_rgb(_xlfn.TEXTJOIN(", ",TRUE,$F119,$G119,K$2))</f>
        <v>0, 128, 128</v>
      </c>
      <c r="L119" s="452" t="str" cm="1">
        <f t="array" ref="L119">hsl_to_rgb(_xlfn.TEXTJOIN(", ",TRUE,$F119,$G119,L$2))</f>
        <v>128, 255, 255</v>
      </c>
    </row>
    <row r="120" spans="1:12" x14ac:dyDescent="0.25">
      <c r="A120" t="s">
        <v>536</v>
      </c>
      <c r="B120" s="5">
        <v>16776960</v>
      </c>
      <c r="C120" s="119" t="s">
        <v>534</v>
      </c>
      <c r="D120" s="119" t="s">
        <v>535</v>
      </c>
      <c r="F120" s="7" cm="1">
        <f t="array" ref="F120:H120">rgb_to_hsl(C120)</f>
        <v>180</v>
      </c>
      <c r="G120" s="7">
        <v>100</v>
      </c>
      <c r="H120" s="7">
        <v>50</v>
      </c>
      <c r="J120" s="454" t="str" cm="1">
        <f t="array" ref="J120">hsl_to_rgb(_xlfn.TEXTJOIN(", ",TRUE,$F120,$G120,$H120))</f>
        <v>0, 255, 255</v>
      </c>
      <c r="K120" s="451" t="str" cm="1">
        <f t="array" ref="K120">hsl_to_rgb(_xlfn.TEXTJOIN(", ",TRUE,$F120,$G120,K$2))</f>
        <v>0, 128, 128</v>
      </c>
      <c r="L120" s="452" t="str" cm="1">
        <f t="array" ref="L120">hsl_to_rgb(_xlfn.TEXTJOIN(", ",TRUE,$F120,$G120,L$2))</f>
        <v>128, 255, 255</v>
      </c>
    </row>
    <row r="121" spans="1:12" x14ac:dyDescent="0.25">
      <c r="A121" t="s">
        <v>537</v>
      </c>
      <c r="B121" s="5">
        <v>13749760</v>
      </c>
      <c r="C121" s="120" t="s">
        <v>538</v>
      </c>
      <c r="D121" s="120" t="s">
        <v>539</v>
      </c>
      <c r="F121" s="7" cm="1">
        <f t="array" ref="F121:H121">rgb_to_hsl(C121)</f>
        <v>180.86124401913875</v>
      </c>
      <c r="G121" s="7">
        <v>100</v>
      </c>
      <c r="H121" s="7">
        <v>40.980392156862742</v>
      </c>
      <c r="J121" s="455" t="str" cm="1">
        <f t="array" ref="J121">hsl_to_rgb(_xlfn.TEXTJOIN(", ",TRUE,$F121,$G121,$H121))</f>
        <v>0, 206, 209</v>
      </c>
      <c r="K121" s="456" t="str" cm="1">
        <f t="array" ref="K121">hsl_to_rgb(_xlfn.TEXTJOIN(", ",TRUE,$F121,$G121,K$2))</f>
        <v>0, 126, 128</v>
      </c>
      <c r="L121" s="457" t="str" cm="1">
        <f t="array" ref="L121">hsl_to_rgb(_xlfn.TEXTJOIN(", ",TRUE,$F121,$G121,L$2))</f>
        <v>128, 253, 255</v>
      </c>
    </row>
    <row r="122" spans="1:12" x14ac:dyDescent="0.25">
      <c r="A122" t="s">
        <v>540</v>
      </c>
      <c r="B122" s="5">
        <v>10526303</v>
      </c>
      <c r="C122" s="121" t="s">
        <v>541</v>
      </c>
      <c r="D122" s="121" t="s">
        <v>542</v>
      </c>
      <c r="F122" s="7" cm="1">
        <f t="array" ref="F122:H122">rgb_to_hsl(C122)</f>
        <v>181.84615384615384</v>
      </c>
      <c r="G122" s="7">
        <v>40.625</v>
      </c>
      <c r="H122" s="7">
        <v>50</v>
      </c>
      <c r="J122" s="458" t="str" cm="1">
        <f t="array" ref="J122">hsl_to_rgb(_xlfn.TEXTJOIN(", ",TRUE,$F122,$G122,$H122))</f>
        <v>76, 176, 179</v>
      </c>
      <c r="K122" s="459" t="str" cm="1">
        <f t="array" ref="K122">hsl_to_rgb(_xlfn.TEXTJOIN(", ",TRUE,$F122,$G122,K$2))</f>
        <v>38, 88, 90</v>
      </c>
      <c r="L122" s="460" t="str" cm="1">
        <f t="array" ref="L122">hsl_to_rgb(_xlfn.TEXTJOIN(", ",TRUE,$F122,$G122,L$2))</f>
        <v>165, 216, 217</v>
      </c>
    </row>
    <row r="123" spans="1:12" x14ac:dyDescent="0.25">
      <c r="A123" t="s">
        <v>543</v>
      </c>
      <c r="B123" s="5">
        <v>15130800</v>
      </c>
      <c r="C123" s="122" t="s">
        <v>544</v>
      </c>
      <c r="D123" s="122" t="s">
        <v>545</v>
      </c>
      <c r="F123" s="7" cm="1">
        <f t="array" ref="F123:H123">rgb_to_hsl(C123)</f>
        <v>186.66666666666669</v>
      </c>
      <c r="G123" s="7">
        <v>23.478260869565222</v>
      </c>
      <c r="H123" s="7">
        <v>79.607843137254903</v>
      </c>
      <c r="J123" s="461" t="str" cm="1">
        <f t="array" ref="J123">hsl_to_rgb(_xlfn.TEXTJOIN(", ",TRUE,$F123,$G123,$H123))</f>
        <v>191, 212, 215</v>
      </c>
      <c r="K123" s="462" t="str" cm="1">
        <f t="array" ref="K123">hsl_to_rgb(_xlfn.TEXTJOIN(", ",TRUE,$F123,$G123,K$2))</f>
        <v>49, 75, 79</v>
      </c>
      <c r="L123" s="463" t="str" cm="1">
        <f t="array" ref="L123">hsl_to_rgb(_xlfn.TEXTJOIN(", ",TRUE,$F123,$G123,L$2))</f>
        <v>176, 203, 206</v>
      </c>
    </row>
    <row r="124" spans="1:12" x14ac:dyDescent="0.25">
      <c r="A124" t="s">
        <v>546</v>
      </c>
      <c r="B124" s="5">
        <v>15128749</v>
      </c>
      <c r="C124" s="123" t="s">
        <v>547</v>
      </c>
      <c r="D124" s="123" t="s">
        <v>548</v>
      </c>
      <c r="F124" s="7" cm="1">
        <f t="array" ref="F124:H124">rgb_to_hsl(C124)</f>
        <v>194.73684210526318</v>
      </c>
      <c r="G124" s="7">
        <v>24.782608695652172</v>
      </c>
      <c r="H124" s="7">
        <v>79.019607843137265</v>
      </c>
      <c r="J124" s="464" t="str" cm="1">
        <f t="array" ref="J124">hsl_to_rgb(_xlfn.TEXTJOIN(", ",TRUE,$F124,$G124,$H124))</f>
        <v>188, 208, 215</v>
      </c>
      <c r="K124" s="465" t="str" cm="1">
        <f t="array" ref="K124">hsl_to_rgb(_xlfn.TEXTJOIN(", ",TRUE,$F124,$G124,K$2))</f>
        <v>48, 72, 80</v>
      </c>
      <c r="L124" s="466" t="str" cm="1">
        <f t="array" ref="L124">hsl_to_rgb(_xlfn.TEXTJOIN(", ",TRUE,$F124,$G124,L$2))</f>
        <v>175, 199, 207</v>
      </c>
    </row>
    <row r="125" spans="1:12" x14ac:dyDescent="0.25">
      <c r="A125" t="s">
        <v>549</v>
      </c>
      <c r="B125" s="5">
        <v>16760576</v>
      </c>
      <c r="C125" s="124" t="s">
        <v>550</v>
      </c>
      <c r="D125" s="124" t="s">
        <v>551</v>
      </c>
      <c r="F125" s="7" cm="1">
        <f t="array" ref="F125:H125">rgb_to_hsl(C125)</f>
        <v>195.05882352941177</v>
      </c>
      <c r="G125" s="7">
        <v>100</v>
      </c>
      <c r="H125" s="7">
        <v>50</v>
      </c>
      <c r="J125" s="467" t="str" cm="1">
        <f t="array" ref="J125">hsl_to_rgb(_xlfn.TEXTJOIN(", ",TRUE,$F125,$G125,$H125))</f>
        <v>0, 191, 255</v>
      </c>
      <c r="K125" s="468" t="str" cm="1">
        <f t="array" ref="K125">hsl_to_rgb(_xlfn.TEXTJOIN(", ",TRUE,$F125,$G125,K$2))</f>
        <v>0, 95, 128</v>
      </c>
      <c r="L125" s="469" t="str" cm="1">
        <f t="array" ref="L125">hsl_to_rgb(_xlfn.TEXTJOIN(", ",TRUE,$F125,$G125,L$2))</f>
        <v>128, 223, 255</v>
      </c>
    </row>
    <row r="126" spans="1:12" x14ac:dyDescent="0.25">
      <c r="A126" t="s">
        <v>552</v>
      </c>
      <c r="B126" s="5">
        <v>15453831</v>
      </c>
      <c r="C126" s="125" t="s">
        <v>553</v>
      </c>
      <c r="D126" s="125" t="s">
        <v>554</v>
      </c>
      <c r="F126" s="7" cm="1">
        <f t="array" ref="F126:H126">rgb_to_hsl(C126)</f>
        <v>197.4</v>
      </c>
      <c r="G126" s="7">
        <v>42.553191489361694</v>
      </c>
      <c r="H126" s="7">
        <v>72.549019607843135</v>
      </c>
      <c r="J126" s="470" t="str" cm="1">
        <f t="array" ref="J126">hsl_to_rgb(_xlfn.TEXTJOIN(", ",TRUE,$F126,$G126,$H126))</f>
        <v>155, 198, 215</v>
      </c>
      <c r="K126" s="471" t="str" cm="1">
        <f t="array" ref="K126">hsl_to_rgb(_xlfn.TEXTJOIN(", ",TRUE,$F126,$G126,K$2))</f>
        <v>37, 75, 91</v>
      </c>
      <c r="L126" s="472" t="str" cm="1">
        <f t="array" ref="L126">hsl_to_rgb(_xlfn.TEXTJOIN(", ",TRUE,$F126,$G126,L$2))</f>
        <v>164, 203, 218</v>
      </c>
    </row>
    <row r="127" spans="1:12" x14ac:dyDescent="0.25">
      <c r="A127" t="s">
        <v>555</v>
      </c>
      <c r="B127" s="5">
        <v>16436871</v>
      </c>
      <c r="C127" s="126" t="s">
        <v>556</v>
      </c>
      <c r="D127" s="126" t="s">
        <v>557</v>
      </c>
      <c r="F127" s="7" cm="1">
        <f t="array" ref="F127:H127">rgb_to_hsl(C127)</f>
        <v>202.95652173913044</v>
      </c>
      <c r="G127" s="7">
        <v>46</v>
      </c>
      <c r="H127" s="7">
        <v>75.490196078431367</v>
      </c>
      <c r="J127" s="473" t="str" cm="1">
        <f t="array" ref="J127">hsl_to_rgb(_xlfn.TEXTJOIN(", ",TRUE,$F127,$G127,$H127))</f>
        <v>164, 199, 221</v>
      </c>
      <c r="K127" s="474" t="str" cm="1">
        <f t="array" ref="K127">hsl_to_rgb(_xlfn.TEXTJOIN(", ",TRUE,$F127,$G127,K$2))</f>
        <v>34, 71, 93</v>
      </c>
      <c r="L127" s="475" t="str" cm="1">
        <f t="array" ref="L127">hsl_to_rgb(_xlfn.TEXTJOIN(", ",TRUE,$F127,$G127,L$2))</f>
        <v>162, 198, 221</v>
      </c>
    </row>
    <row r="128" spans="1:12" x14ac:dyDescent="0.25">
      <c r="A128" t="s">
        <v>558</v>
      </c>
      <c r="B128" s="5">
        <v>11829830</v>
      </c>
      <c r="C128" s="127" t="s">
        <v>559</v>
      </c>
      <c r="D128" s="127" t="s">
        <v>560</v>
      </c>
      <c r="F128" s="7" cm="1">
        <f t="array" ref="F128:H128">rgb_to_hsl(C128)</f>
        <v>207.27272727272728</v>
      </c>
      <c r="G128" s="7">
        <v>61.111111111111107</v>
      </c>
      <c r="H128" s="7">
        <v>49.019607843137258</v>
      </c>
      <c r="J128" s="476" t="str" cm="1">
        <f t="array" ref="J128">hsl_to_rgb(_xlfn.TEXTJOIN(", ",TRUE,$F128,$G128,$H128))</f>
        <v>49, 132, 201</v>
      </c>
      <c r="K128" s="477" t="str" cm="1">
        <f t="array" ref="K128">hsl_to_rgb(_xlfn.TEXTJOIN(", ",TRUE,$F128,$G128,K$2))</f>
        <v>25, 67, 103</v>
      </c>
      <c r="L128" s="478" t="str" cm="1">
        <f t="array" ref="L128">hsl_to_rgb(_xlfn.TEXTJOIN(", ",TRUE,$F128,$G128,L$2))</f>
        <v>152, 195, 230</v>
      </c>
    </row>
    <row r="129" spans="1:12" x14ac:dyDescent="0.25">
      <c r="A129" t="s">
        <v>561</v>
      </c>
      <c r="B129" s="5">
        <v>16775408</v>
      </c>
      <c r="C129" s="128" t="s">
        <v>562</v>
      </c>
      <c r="D129" s="128" t="s">
        <v>563</v>
      </c>
      <c r="F129" s="7" cm="1">
        <f t="array" ref="F129:H129">rgb_to_hsl(C129)</f>
        <v>208</v>
      </c>
      <c r="G129" s="7">
        <v>5.8823529411764719</v>
      </c>
      <c r="H129" s="7">
        <v>97.058823529411768</v>
      </c>
      <c r="J129" s="439" t="str" cm="1">
        <f t="array" ref="J129">hsl_to_rgb(_xlfn.TEXTJOIN(", ",TRUE,$F129,$G129,$H129))</f>
        <v>247, 248, 248</v>
      </c>
      <c r="K129" s="479" t="str" cm="1">
        <f t="array" ref="K129">hsl_to_rgb(_xlfn.TEXTJOIN(", ",TRUE,$F129,$G129,K$2))</f>
        <v>60, 64, 68</v>
      </c>
      <c r="L129" s="480" t="str" cm="1">
        <f t="array" ref="L129">hsl_to_rgb(_xlfn.TEXTJOIN(", ",TRUE,$F129,$G129,L$2))</f>
        <v>188, 192, 195</v>
      </c>
    </row>
    <row r="130" spans="1:12" x14ac:dyDescent="0.25">
      <c r="A130" t="s">
        <v>564</v>
      </c>
      <c r="B130" s="5">
        <v>16748574</v>
      </c>
      <c r="C130" s="129" t="s">
        <v>565</v>
      </c>
      <c r="D130" s="129" t="s">
        <v>566</v>
      </c>
      <c r="F130" s="7" cm="1">
        <f t="array" ref="F130:H130">rgb_to_hsl(C130)</f>
        <v>209.6</v>
      </c>
      <c r="G130" s="7">
        <v>88.235294117647058</v>
      </c>
      <c r="H130" s="7">
        <v>55.882352941176471</v>
      </c>
      <c r="J130" s="481" t="str" cm="1">
        <f t="array" ref="J130">hsl_to_rgb(_xlfn.TEXTJOIN(", ",TRUE,$F130,$G130,$H130))</f>
        <v>43, 144, 242</v>
      </c>
      <c r="K130" s="482" t="str" cm="1">
        <f t="array" ref="K130">hsl_to_rgb(_xlfn.TEXTJOIN(", ",TRUE,$F130,$G130,K$2))</f>
        <v>7, 65, 120</v>
      </c>
      <c r="L130" s="483" t="str" cm="1">
        <f t="array" ref="L130">hsl_to_rgb(_xlfn.TEXTJOIN(", ",TRUE,$F130,$G130,L$2))</f>
        <v>135, 192, 248</v>
      </c>
    </row>
    <row r="131" spans="1:12" x14ac:dyDescent="0.25">
      <c r="A131" t="s">
        <v>567</v>
      </c>
      <c r="B131" s="5">
        <v>9470064</v>
      </c>
      <c r="C131" s="130" t="s">
        <v>568</v>
      </c>
      <c r="D131" s="130" t="s">
        <v>569</v>
      </c>
      <c r="F131" s="7" cm="1">
        <f t="array" ref="F131:H131">rgb_to_hsl(C131)</f>
        <v>210</v>
      </c>
      <c r="G131" s="7">
        <v>22.222222222222221</v>
      </c>
      <c r="H131" s="7">
        <v>50.196078431372548</v>
      </c>
      <c r="J131" s="484" t="str" cm="1">
        <f t="array" ref="J131">hsl_to_rgb(_xlfn.TEXTJOIN(", ",TRUE,$F131,$G131,$H131))</f>
        <v>100, 128, 156</v>
      </c>
      <c r="K131" s="485" t="str" cm="1">
        <f t="array" ref="K131">hsl_to_rgb(_xlfn.TEXTJOIN(", ",TRUE,$F131,$G131,K$2))</f>
        <v>50, 64, 78</v>
      </c>
      <c r="L131" s="486" t="str" cm="1">
        <f t="array" ref="L131">hsl_to_rgb(_xlfn.TEXTJOIN(", ",TRUE,$F131,$G131,L$2))</f>
        <v>177, 191, 205</v>
      </c>
    </row>
    <row r="132" spans="1:12" x14ac:dyDescent="0.25">
      <c r="A132" t="s">
        <v>570</v>
      </c>
      <c r="B132" s="5">
        <v>10061943</v>
      </c>
      <c r="C132" s="131" t="s">
        <v>571</v>
      </c>
      <c r="D132" s="131" t="s">
        <v>572</v>
      </c>
      <c r="F132" s="7" cm="1">
        <f t="array" ref="F132:H132">rgb_to_hsl(C132)</f>
        <v>210</v>
      </c>
      <c r="G132" s="7">
        <v>22.222222222222218</v>
      </c>
      <c r="H132" s="7">
        <v>53.333333333333336</v>
      </c>
      <c r="J132" s="487" t="str" cm="1">
        <f t="array" ref="J132">hsl_to_rgb(_xlfn.TEXTJOIN(", ",TRUE,$F132,$G132,$H132))</f>
        <v>110, 136, 162</v>
      </c>
      <c r="K132" s="485" t="str" cm="1">
        <f t="array" ref="K132">hsl_to_rgb(_xlfn.TEXTJOIN(", ",TRUE,$F132,$G132,K$2))</f>
        <v>50, 64, 78</v>
      </c>
      <c r="L132" s="486" t="str" cm="1">
        <f t="array" ref="L132">hsl_to_rgb(_xlfn.TEXTJOIN(", ",TRUE,$F132,$G132,L$2))</f>
        <v>177, 191, 205</v>
      </c>
    </row>
    <row r="133" spans="1:12" x14ac:dyDescent="0.25">
      <c r="A133" t="s">
        <v>573</v>
      </c>
      <c r="B133" s="5">
        <v>14599344</v>
      </c>
      <c r="C133" s="132" t="s">
        <v>574</v>
      </c>
      <c r="D133" s="132" t="s">
        <v>575</v>
      </c>
      <c r="F133" s="7" cm="1">
        <f t="array" ref="F133:H133">rgb_to_hsl(C133)</f>
        <v>213.91304347826085</v>
      </c>
      <c r="G133" s="7">
        <v>20.720720720720724</v>
      </c>
      <c r="H133" s="7">
        <v>78.039215686274517</v>
      </c>
      <c r="J133" s="488" t="str" cm="1">
        <f t="array" ref="J133">hsl_to_rgb(_xlfn.TEXTJOIN(", ",TRUE,$F133,$G133,$H133))</f>
        <v>187, 197, 211</v>
      </c>
      <c r="K133" s="489" t="str" cm="1">
        <f t="array" ref="K133">hsl_to_rgb(_xlfn.TEXTJOIN(", ",TRUE,$F133,$G133,K$2))</f>
        <v>51, 62, 77</v>
      </c>
      <c r="L133" s="490" t="str" cm="1">
        <f t="array" ref="L133">hsl_to_rgb(_xlfn.TEXTJOIN(", ",TRUE,$F133,$G133,L$2))</f>
        <v>178, 190, 204</v>
      </c>
    </row>
    <row r="134" spans="1:12" x14ac:dyDescent="0.25">
      <c r="A134" t="s">
        <v>576</v>
      </c>
      <c r="B134" s="5">
        <v>15570276</v>
      </c>
      <c r="C134" s="133" t="s">
        <v>577</v>
      </c>
      <c r="D134" s="133" t="s">
        <v>578</v>
      </c>
      <c r="F134" s="7" cm="1">
        <f t="array" ref="F134:H134">rgb_to_hsl(C134)</f>
        <v>218.54014598540147</v>
      </c>
      <c r="G134" s="7">
        <v>57.805907172995788</v>
      </c>
      <c r="H134" s="7">
        <v>66.078431372549019</v>
      </c>
      <c r="J134" s="491" t="str" cm="1">
        <f t="array" ref="J134">hsl_to_rgb(_xlfn.TEXTJOIN(", ",TRUE,$F134,$G134,$H134))</f>
        <v>118, 154, 219</v>
      </c>
      <c r="K134" s="492" t="str" cm="1">
        <f t="array" ref="K134">hsl_to_rgb(_xlfn.TEXTJOIN(", ",TRUE,$F134,$G134,K$2))</f>
        <v>27, 53, 101</v>
      </c>
      <c r="L134" s="493" t="str" cm="1">
        <f t="array" ref="L134">hsl_to_rgb(_xlfn.TEXTJOIN(", ",TRUE,$F134,$G134,L$2))</f>
        <v>154, 181, 228</v>
      </c>
    </row>
    <row r="135" spans="1:12" x14ac:dyDescent="0.25">
      <c r="A135" t="s">
        <v>579</v>
      </c>
      <c r="B135" s="5">
        <v>14772545</v>
      </c>
      <c r="C135" s="134" t="s">
        <v>580</v>
      </c>
      <c r="D135" s="134" t="s">
        <v>581</v>
      </c>
      <c r="F135" s="7" cm="1">
        <f t="array" ref="F135:H135">rgb_to_hsl(C135)</f>
        <v>225</v>
      </c>
      <c r="G135" s="7">
        <v>71.111111111111114</v>
      </c>
      <c r="H135" s="7">
        <v>56.862745098039213</v>
      </c>
      <c r="J135" s="494" t="str" cm="1">
        <f t="array" ref="J135">hsl_to_rgb(_xlfn.TEXTJOIN(", ",TRUE,$F135,$G135,$H135))</f>
        <v>67, 106, 223</v>
      </c>
      <c r="K135" s="495" t="str" cm="1">
        <f t="array" ref="K135">hsl_to_rgb(_xlfn.TEXTJOIN(", ",TRUE,$F135,$G135,K$2))</f>
        <v>18, 41, 109</v>
      </c>
      <c r="L135" s="496" t="str" cm="1">
        <f t="array" ref="L135">hsl_to_rgb(_xlfn.TEXTJOIN(", ",TRUE,$F135,$G135,L$2))</f>
        <v>146, 169, 237</v>
      </c>
    </row>
    <row r="136" spans="1:12" x14ac:dyDescent="0.25">
      <c r="A136" t="s">
        <v>582</v>
      </c>
      <c r="B136" s="5">
        <v>16775416</v>
      </c>
      <c r="C136" s="135" t="s">
        <v>583</v>
      </c>
      <c r="D136" s="135" t="s">
        <v>584</v>
      </c>
      <c r="F136" s="7" cm="1">
        <f t="array" ref="F136:H136">rgb_to_hsl(C136)</f>
        <v>240</v>
      </c>
      <c r="G136" s="7">
        <v>2.7450980392156876</v>
      </c>
      <c r="H136" s="7">
        <v>98.627450980392155</v>
      </c>
      <c r="J136" s="497" t="str" cm="1">
        <f t="array" ref="J136">hsl_to_rgb(_xlfn.TEXTJOIN(", ",TRUE,$F136,$G136,$H136))</f>
        <v>251, 251, 252</v>
      </c>
      <c r="K136" s="498" t="str" cm="1">
        <f t="array" ref="K136">hsl_to_rgb(_xlfn.TEXTJOIN(", ",TRUE,$F136,$G136,K$2))</f>
        <v>62, 62, 66</v>
      </c>
      <c r="L136" s="499" t="str" cm="1">
        <f t="array" ref="L136">hsl_to_rgb(_xlfn.TEXTJOIN(", ",TRUE,$F136,$G136,L$2))</f>
        <v>190, 190, 193</v>
      </c>
    </row>
    <row r="137" spans="1:12" x14ac:dyDescent="0.25">
      <c r="A137" t="s">
        <v>585</v>
      </c>
      <c r="B137" s="5">
        <v>16443110</v>
      </c>
      <c r="C137" s="136" t="s">
        <v>586</v>
      </c>
      <c r="D137" s="136" t="s">
        <v>587</v>
      </c>
      <c r="F137" s="7" cm="1">
        <f t="array" ref="F137:H137">rgb_to_hsl(C137)</f>
        <v>240</v>
      </c>
      <c r="G137" s="7">
        <v>7.9999999999999947</v>
      </c>
      <c r="H137" s="7">
        <v>94.117647058823522</v>
      </c>
      <c r="J137" s="500" t="str" cm="1">
        <f t="array" ref="J137">hsl_to_rgb(_xlfn.TEXTJOIN(", ",TRUE,$F137,$G137,$H137))</f>
        <v>239, 239, 241</v>
      </c>
      <c r="K137" s="501" t="str" cm="1">
        <f t="array" ref="K137">hsl_to_rgb(_xlfn.TEXTJOIN(", ",TRUE,$F137,$G137,K$2))</f>
        <v>59, 59, 69</v>
      </c>
      <c r="L137" s="502" t="str" cm="1">
        <f t="array" ref="L137">hsl_to_rgb(_xlfn.TEXTJOIN(", ",TRUE,$F137,$G137,L$2))</f>
        <v>186, 186, 196</v>
      </c>
    </row>
    <row r="138" spans="1:12" x14ac:dyDescent="0.25">
      <c r="A138" t="s">
        <v>588</v>
      </c>
      <c r="B138" s="5">
        <v>7346457</v>
      </c>
      <c r="C138" s="137" t="s">
        <v>589</v>
      </c>
      <c r="D138" s="137" t="s">
        <v>590</v>
      </c>
      <c r="F138" s="7" cm="1">
        <f t="array" ref="F138:H138">rgb_to_hsl(C138)</f>
        <v>240</v>
      </c>
      <c r="G138" s="7">
        <v>77.678571428571431</v>
      </c>
      <c r="H138" s="7">
        <v>26.862745098039216</v>
      </c>
      <c r="J138" s="503" t="str" cm="1">
        <f t="array" ref="J138">hsl_to_rgb(_xlfn.TEXTJOIN(", ",TRUE,$F138,$G138,$H138))</f>
        <v>15, 15, 122</v>
      </c>
      <c r="K138" s="504" t="str" cm="1">
        <f t="array" ref="K138">hsl_to_rgb(_xlfn.TEXTJOIN(", ",TRUE,$F138,$G138,K$2))</f>
        <v>14, 14, 113</v>
      </c>
      <c r="L138" s="505" t="str" cm="1">
        <f t="array" ref="L138">hsl_to_rgb(_xlfn.TEXTJOIN(", ",TRUE,$F138,$G138,L$2))</f>
        <v>142, 142, 241</v>
      </c>
    </row>
    <row r="139" spans="1:12" x14ac:dyDescent="0.25">
      <c r="A139" t="s">
        <v>591</v>
      </c>
      <c r="B139" s="5">
        <v>8388608</v>
      </c>
      <c r="C139" s="138" t="s">
        <v>592</v>
      </c>
      <c r="D139" s="138" t="s">
        <v>593</v>
      </c>
      <c r="F139" s="7" cm="1">
        <f t="array" ref="F139:H139">rgb_to_hsl(C139)</f>
        <v>240</v>
      </c>
      <c r="G139" s="7">
        <v>100</v>
      </c>
      <c r="H139" s="7">
        <v>25.098039215686274</v>
      </c>
      <c r="J139" s="506" t="str" cm="1">
        <f t="array" ref="J139">hsl_to_rgb(_xlfn.TEXTJOIN(", ",TRUE,$F139,$G139,$H139))</f>
        <v>0, 0, 128</v>
      </c>
      <c r="K139" s="506" t="str" cm="1">
        <f t="array" ref="K139">hsl_to_rgb(_xlfn.TEXTJOIN(", ",TRUE,$F139,$G139,K$2))</f>
        <v>0, 0, 128</v>
      </c>
      <c r="L139" s="507" t="str" cm="1">
        <f t="array" ref="L139">hsl_to_rgb(_xlfn.TEXTJOIN(", ",TRUE,$F139,$G139,L$2))</f>
        <v>128, 128, 255</v>
      </c>
    </row>
    <row r="140" spans="1:12" x14ac:dyDescent="0.25">
      <c r="A140" t="s">
        <v>594</v>
      </c>
      <c r="B140" s="5">
        <v>9109504</v>
      </c>
      <c r="C140" s="139" t="s">
        <v>595</v>
      </c>
      <c r="D140" s="139" t="s">
        <v>596</v>
      </c>
      <c r="F140" s="7" cm="1">
        <f t="array" ref="F140:H140">rgb_to_hsl(C140)</f>
        <v>240</v>
      </c>
      <c r="G140" s="7">
        <v>100</v>
      </c>
      <c r="H140" s="7">
        <v>27.254901960784313</v>
      </c>
      <c r="J140" s="508" t="str" cm="1">
        <f t="array" ref="J140">hsl_to_rgb(_xlfn.TEXTJOIN(", ",TRUE,$F140,$G140,$H140))</f>
        <v>0, 0, 139</v>
      </c>
      <c r="K140" s="506" t="str" cm="1">
        <f t="array" ref="K140">hsl_to_rgb(_xlfn.TEXTJOIN(", ",TRUE,$F140,$G140,K$2))</f>
        <v>0, 0, 128</v>
      </c>
      <c r="L140" s="507" t="str" cm="1">
        <f t="array" ref="L140">hsl_to_rgb(_xlfn.TEXTJOIN(", ",TRUE,$F140,$G140,L$2))</f>
        <v>128, 128, 255</v>
      </c>
    </row>
    <row r="141" spans="1:12" x14ac:dyDescent="0.25">
      <c r="A141" t="s">
        <v>597</v>
      </c>
      <c r="B141" s="5">
        <v>13434880</v>
      </c>
      <c r="C141" s="140" t="s">
        <v>598</v>
      </c>
      <c r="D141" s="140" t="s">
        <v>599</v>
      </c>
      <c r="F141" s="7" cm="1">
        <f t="array" ref="F141:H141">rgb_to_hsl(C141)</f>
        <v>240</v>
      </c>
      <c r="G141" s="7">
        <v>100</v>
      </c>
      <c r="H141" s="7">
        <v>40.196078431372548</v>
      </c>
      <c r="J141" s="509" t="str" cm="1">
        <f t="array" ref="J141">hsl_to_rgb(_xlfn.TEXTJOIN(", ",TRUE,$F141,$G141,$H141))</f>
        <v>0, 0, 205</v>
      </c>
      <c r="K141" s="506" t="str" cm="1">
        <f t="array" ref="K141">hsl_to_rgb(_xlfn.TEXTJOIN(", ",TRUE,$F141,$G141,K$2))</f>
        <v>0, 0, 128</v>
      </c>
      <c r="L141" s="507" t="str" cm="1">
        <f t="array" ref="L141">hsl_to_rgb(_xlfn.TEXTJOIN(", ",TRUE,$F141,$G141,L$2))</f>
        <v>128, 128, 255</v>
      </c>
    </row>
    <row r="142" spans="1:12" x14ac:dyDescent="0.25">
      <c r="A142" t="s">
        <v>600</v>
      </c>
      <c r="B142" s="5">
        <v>16711680</v>
      </c>
      <c r="C142" s="141" t="s">
        <v>601</v>
      </c>
      <c r="D142" s="141" t="s">
        <v>602</v>
      </c>
      <c r="F142" s="7" cm="1">
        <f t="array" ref="F142:H142">rgb_to_hsl(C142)</f>
        <v>240</v>
      </c>
      <c r="G142" s="7">
        <v>100</v>
      </c>
      <c r="H142" s="7">
        <v>50</v>
      </c>
      <c r="J142" s="510" t="str" cm="1">
        <f t="array" ref="J142">hsl_to_rgb(_xlfn.TEXTJOIN(", ",TRUE,$F142,$G142,$H142))</f>
        <v>0, 0, 255</v>
      </c>
      <c r="K142" s="506" t="str" cm="1">
        <f t="array" ref="K142">hsl_to_rgb(_xlfn.TEXTJOIN(", ",TRUE,$F142,$G142,K$2))</f>
        <v>0, 0, 128</v>
      </c>
      <c r="L142" s="507" t="str" cm="1">
        <f t="array" ref="L142">hsl_to_rgb(_xlfn.TEXTJOIN(", ",TRUE,$F142,$G142,L$2))</f>
        <v>128, 128, 255</v>
      </c>
    </row>
    <row r="143" spans="1:12" x14ac:dyDescent="0.25">
      <c r="A143" t="s">
        <v>603</v>
      </c>
      <c r="B143" s="5">
        <v>13458026</v>
      </c>
      <c r="C143" s="142" t="s">
        <v>604</v>
      </c>
      <c r="D143" s="142" t="s">
        <v>605</v>
      </c>
      <c r="F143" s="7" cm="1">
        <f t="array" ref="F143:H143">rgb_to_hsl(C143)</f>
        <v>248.34782608695653</v>
      </c>
      <c r="G143" s="7">
        <v>56.097560975609753</v>
      </c>
      <c r="H143" s="7">
        <v>57.843137254901968</v>
      </c>
      <c r="J143" s="511" t="str" cm="1">
        <f t="array" ref="J143">hsl_to_rgb(_xlfn.TEXTJOIN(", ",TRUE,$F143,$G143,$H143))</f>
        <v>104, 87, 208</v>
      </c>
      <c r="K143" s="512" t="str" cm="1">
        <f t="array" ref="K143">hsl_to_rgb(_xlfn.TEXTJOIN(", ",TRUE,$F143,$G143,K$2))</f>
        <v>38, 28, 100</v>
      </c>
      <c r="L143" s="513" t="str" cm="1">
        <f t="array" ref="L143">hsl_to_rgb(_xlfn.TEXTJOIN(", ",TRUE,$F143,$G143,L$2))</f>
        <v>165, 155, 227</v>
      </c>
    </row>
    <row r="144" spans="1:12" x14ac:dyDescent="0.25">
      <c r="A144" t="s">
        <v>606</v>
      </c>
      <c r="B144" s="5">
        <v>9125192</v>
      </c>
      <c r="C144" s="143" t="s">
        <v>607</v>
      </c>
      <c r="D144" s="143" t="s">
        <v>608</v>
      </c>
      <c r="F144" s="7" cm="1">
        <f t="array" ref="F144:H144">rgb_to_hsl(C144)</f>
        <v>248.46153846153845</v>
      </c>
      <c r="G144" s="7">
        <v>56.11510791366905</v>
      </c>
      <c r="H144" s="7">
        <v>39.215686274509807</v>
      </c>
      <c r="J144" s="514" t="str" cm="1">
        <f t="array" ref="J144">hsl_to_rgb(_xlfn.TEXTJOIN(", ",TRUE,$F144,$G144,$H144))</f>
        <v>60, 44, 156</v>
      </c>
      <c r="K144" s="512" t="str" cm="1">
        <f t="array" ref="K144">hsl_to_rgb(_xlfn.TEXTJOIN(", ",TRUE,$F144,$G144,K$2))</f>
        <v>38, 28, 100</v>
      </c>
      <c r="L144" s="515" t="str" cm="1">
        <f t="array" ref="L144">hsl_to_rgb(_xlfn.TEXTJOIN(", ",TRUE,$F144,$G144,L$2))</f>
        <v>166, 155, 227</v>
      </c>
    </row>
    <row r="145" spans="1:12" x14ac:dyDescent="0.25">
      <c r="A145" t="s">
        <v>609</v>
      </c>
      <c r="B145" s="5">
        <v>15624315</v>
      </c>
      <c r="C145" s="144" t="s">
        <v>610</v>
      </c>
      <c r="D145" s="144" t="s">
        <v>611</v>
      </c>
      <c r="F145" s="7" cm="1">
        <f t="array" ref="F145:H145">rgb_to_hsl(C145)</f>
        <v>248.50746268656715</v>
      </c>
      <c r="G145" s="7">
        <v>56.30252100840336</v>
      </c>
      <c r="H145" s="7">
        <v>67.058823529411768</v>
      </c>
      <c r="J145" s="516" t="str" cm="1">
        <f t="array" ref="J145">hsl_to_rgb(_xlfn.TEXTJOIN(", ",TRUE,$F145,$G145,$H145))</f>
        <v>137, 124, 218</v>
      </c>
      <c r="K145" s="512" t="str" cm="1">
        <f t="array" ref="K145">hsl_to_rgb(_xlfn.TEXTJOIN(", ",TRUE,$F145,$G145,K$2))</f>
        <v>38, 28, 100</v>
      </c>
      <c r="L145" s="515" t="str" cm="1">
        <f t="array" ref="L145">hsl_to_rgb(_xlfn.TEXTJOIN(", ",TRUE,$F145,$G145,L$2))</f>
        <v>166, 155, 227</v>
      </c>
    </row>
    <row r="146" spans="1:12" x14ac:dyDescent="0.25">
      <c r="A146" t="s">
        <v>612</v>
      </c>
      <c r="B146" s="5">
        <v>14381203</v>
      </c>
      <c r="C146" s="145" t="s">
        <v>613</v>
      </c>
      <c r="D146" s="145" t="s">
        <v>614</v>
      </c>
      <c r="F146" s="7" cm="1">
        <f t="array" ref="F146:H146">rgb_to_hsl(C146)</f>
        <v>259.62616822429908</v>
      </c>
      <c r="G146" s="7">
        <v>48.858447488584474</v>
      </c>
      <c r="H146" s="7">
        <v>64.901960784313715</v>
      </c>
      <c r="J146" s="517" t="str" cm="1">
        <f t="array" ref="J146">hsl_to_rgb(_xlfn.TEXTJOIN(", ",TRUE,$F146,$G146,$H146))</f>
        <v>150, 122, 209</v>
      </c>
      <c r="K146" s="518" t="str" cm="1">
        <f t="array" ref="K146">hsl_to_rgb(_xlfn.TEXTJOIN(", ",TRUE,$F146,$G146,K$2))</f>
        <v>53, 33, 95</v>
      </c>
      <c r="L146" s="519" t="str" cm="1">
        <f t="array" ref="L146">hsl_to_rgb(_xlfn.TEXTJOIN(", ",TRUE,$F146,$G146,L$2))</f>
        <v>180, 160, 222</v>
      </c>
    </row>
    <row r="147" spans="1:12" x14ac:dyDescent="0.25">
      <c r="A147" t="s">
        <v>615</v>
      </c>
      <c r="B147" s="5">
        <v>14822282</v>
      </c>
      <c r="C147" s="146" t="s">
        <v>616</v>
      </c>
      <c r="D147" s="146" t="s">
        <v>617</v>
      </c>
      <c r="F147" s="7" cm="1">
        <f t="array" ref="F147:H147">rgb_to_hsl(C147)</f>
        <v>271.14754098360658</v>
      </c>
      <c r="G147" s="7">
        <v>80.973451327433622</v>
      </c>
      <c r="H147" s="7">
        <v>52.745098039215691</v>
      </c>
      <c r="J147" s="520" t="str" cm="1">
        <f t="array" ref="J147">hsl_to_rgb(_xlfn.TEXTJOIN(", ",TRUE,$F147,$G147,$H147))</f>
        <v>138, 37, 232</v>
      </c>
      <c r="K147" s="521" t="str" cm="1">
        <f t="array" ref="K147">hsl_to_rgb(_xlfn.TEXTJOIN(", ",TRUE,$F147,$G147,K$2))</f>
        <v>66, 12, 115</v>
      </c>
      <c r="L147" s="522" t="str" cm="1">
        <f t="array" ref="L147">hsl_to_rgb(_xlfn.TEXTJOIN(", ",TRUE,$F147,$G147,L$2))</f>
        <v>193, 140, 243</v>
      </c>
    </row>
    <row r="148" spans="1:12" x14ac:dyDescent="0.25">
      <c r="A148" t="s">
        <v>618</v>
      </c>
      <c r="B148" s="5">
        <v>8519755</v>
      </c>
      <c r="C148" s="147" t="s">
        <v>619</v>
      </c>
      <c r="D148" s="147" t="s">
        <v>620</v>
      </c>
      <c r="F148" s="7" cm="1">
        <f t="array" ref="F148:H148">rgb_to_hsl(C148)</f>
        <v>274.61538461538464</v>
      </c>
      <c r="G148" s="7">
        <v>100</v>
      </c>
      <c r="H148" s="7">
        <v>25.490196078431371</v>
      </c>
      <c r="J148" s="523" t="str" cm="1">
        <f t="array" ref="J148">hsl_to_rgb(_xlfn.TEXTJOIN(", ",TRUE,$F148,$G148,$H148))</f>
        <v>75, 0, 130</v>
      </c>
      <c r="K148" s="524" t="str" cm="1">
        <f t="array" ref="K148">hsl_to_rgb(_xlfn.TEXTJOIN(", ",TRUE,$F148,$G148,K$2))</f>
        <v>74, 0, 128</v>
      </c>
      <c r="L148" s="525" t="str" cm="1">
        <f t="array" ref="L148">hsl_to_rgb(_xlfn.TEXTJOIN(", ",TRUE,$F148,$G148,L$2))</f>
        <v>201, 128, 255</v>
      </c>
    </row>
    <row r="149" spans="1:12" x14ac:dyDescent="0.25">
      <c r="A149" t="s">
        <v>621</v>
      </c>
      <c r="B149" s="5">
        <v>13382297</v>
      </c>
      <c r="C149" s="148" t="s">
        <v>622</v>
      </c>
      <c r="D149" s="148" t="s">
        <v>623</v>
      </c>
      <c r="F149" s="7" cm="1">
        <f t="array" ref="F149:H149">rgb_to_hsl(C149)</f>
        <v>280.12987012987014</v>
      </c>
      <c r="G149" s="7">
        <v>75.490196078431381</v>
      </c>
      <c r="H149" s="7">
        <v>49.803921568627452</v>
      </c>
      <c r="J149" s="526" t="str" cm="1">
        <f t="array" ref="J149">hsl_to_rgb(_xlfn.TEXTJOIN(", ",TRUE,$F149,$G149,$H149))</f>
        <v>159, 31, 223</v>
      </c>
      <c r="K149" s="527" t="str" cm="1">
        <f t="array" ref="K149">hsl_to_rgb(_xlfn.TEXTJOIN(", ",TRUE,$F149,$G149,K$2))</f>
        <v>80, 16, 112</v>
      </c>
      <c r="L149" s="528" t="str" cm="1">
        <f t="array" ref="L149">hsl_to_rgb(_xlfn.TEXTJOIN(", ",TRUE,$F149,$G149,L$2))</f>
        <v>207, 143, 239</v>
      </c>
    </row>
    <row r="150" spans="1:12" x14ac:dyDescent="0.25">
      <c r="A150" t="s">
        <v>624</v>
      </c>
      <c r="B150" s="5">
        <v>13828244</v>
      </c>
      <c r="C150" s="149" t="s">
        <v>625</v>
      </c>
      <c r="D150" s="149" t="s">
        <v>626</v>
      </c>
      <c r="F150" s="7" cm="1">
        <f t="array" ref="F150:H150">rgb_to_hsl(C150)</f>
        <v>282.08530805687207</v>
      </c>
      <c r="G150" s="7">
        <v>100</v>
      </c>
      <c r="H150" s="7">
        <v>41.372549019607838</v>
      </c>
      <c r="J150" s="529" t="str" cm="1">
        <f t="array" ref="J150">hsl_to_rgb(_xlfn.TEXTJOIN(", ",TRUE,$F150,$G150,$H150))</f>
        <v>148, 0, 211</v>
      </c>
      <c r="K150" s="530" t="str" cm="1">
        <f t="array" ref="K150">hsl_to_rgb(_xlfn.TEXTJOIN(", ",TRUE,$F150,$G150,K$2))</f>
        <v>89, 0, 128</v>
      </c>
      <c r="L150" s="531" t="str" cm="1">
        <f t="array" ref="L150">hsl_to_rgb(_xlfn.TEXTJOIN(", ",TRUE,$F150,$G150,L$2))</f>
        <v>217, 128, 255</v>
      </c>
    </row>
    <row r="151" spans="1:12" x14ac:dyDescent="0.25">
      <c r="A151" t="s">
        <v>627</v>
      </c>
      <c r="B151" s="5">
        <v>13850042</v>
      </c>
      <c r="C151" s="150" t="s">
        <v>628</v>
      </c>
      <c r="D151" s="150" t="s">
        <v>629</v>
      </c>
      <c r="F151" s="7" cm="1">
        <f t="array" ref="F151:H151">rgb_to_hsl(C151)</f>
        <v>288.09523809523807</v>
      </c>
      <c r="G151" s="7">
        <v>59.715639810426538</v>
      </c>
      <c r="H151" s="7">
        <v>58.039215686274503</v>
      </c>
      <c r="J151" s="532" t="str" cm="1">
        <f t="array" ref="J151">hsl_to_rgb(_xlfn.TEXTJOIN(", ",TRUE,$F151,$G151,$H151))</f>
        <v>187, 84, 212</v>
      </c>
      <c r="K151" s="533" t="str" cm="1">
        <f t="array" ref="K151">hsl_to_rgb(_xlfn.TEXTJOIN(", ",TRUE,$F151,$G151,K$2))</f>
        <v>87, 26, 102</v>
      </c>
      <c r="L151" s="534" t="str" cm="1">
        <f t="array" ref="L151">hsl_to_rgb(_xlfn.TEXTJOIN(", ",TRUE,$F151,$G151,L$2))</f>
        <v>214, 153, 229</v>
      </c>
    </row>
    <row r="152" spans="1:12" x14ac:dyDescent="0.25">
      <c r="A152" t="s">
        <v>630</v>
      </c>
      <c r="B152" s="5">
        <v>14204888</v>
      </c>
      <c r="C152" s="151" t="s">
        <v>631</v>
      </c>
      <c r="D152" s="151" t="s">
        <v>632</v>
      </c>
      <c r="F152" s="7" cm="1">
        <f t="array" ref="F152:H152">rgb_to_hsl(C152)</f>
        <v>300</v>
      </c>
      <c r="G152" s="7">
        <v>11.574074074074073</v>
      </c>
      <c r="H152" s="7">
        <v>79.803921568627459</v>
      </c>
      <c r="J152" s="535" t="str" cm="1">
        <f t="array" ref="J152">hsl_to_rgb(_xlfn.TEXTJOIN(", ",TRUE,$F152,$G152,$H152))</f>
        <v>209, 198, 209</v>
      </c>
      <c r="K152" s="536" t="str" cm="1">
        <f t="array" ref="K152">hsl_to_rgb(_xlfn.TEXTJOIN(", ",TRUE,$F152,$G152,K$2))</f>
        <v>71, 56, 71</v>
      </c>
      <c r="L152" s="537" t="str" cm="1">
        <f t="array" ref="L152">hsl_to_rgb(_xlfn.TEXTJOIN(", ",TRUE,$F152,$G152,L$2))</f>
        <v>199, 184, 199</v>
      </c>
    </row>
    <row r="153" spans="1:12" x14ac:dyDescent="0.25">
      <c r="A153" t="s">
        <v>633</v>
      </c>
      <c r="B153" s="5">
        <v>14524637</v>
      </c>
      <c r="C153" s="152" t="s">
        <v>634</v>
      </c>
      <c r="D153" s="152" t="s">
        <v>635</v>
      </c>
      <c r="F153" s="7" cm="1">
        <f t="array" ref="F153:H153">rgb_to_hsl(C153)</f>
        <v>300</v>
      </c>
      <c r="G153" s="7">
        <v>27.601809954751133</v>
      </c>
      <c r="H153" s="7">
        <v>74.705882352941174</v>
      </c>
      <c r="J153" s="538" t="str" cm="1">
        <f t="array" ref="J153">hsl_to_rgb(_xlfn.TEXTJOIN(", ",TRUE,$F153,$G153,$H153))</f>
        <v>208, 173, 208</v>
      </c>
      <c r="K153" s="539" t="str" cm="1">
        <f t="array" ref="K153">hsl_to_rgb(_xlfn.TEXTJOIN(", ",TRUE,$F153,$G153,K$2))</f>
        <v>81, 46, 81</v>
      </c>
      <c r="L153" s="540" t="str" cm="1">
        <f t="array" ref="L153">hsl_to_rgb(_xlfn.TEXTJOIN(", ",TRUE,$F153,$G153,L$2))</f>
        <v>209, 174, 209</v>
      </c>
    </row>
    <row r="154" spans="1:12" x14ac:dyDescent="0.25">
      <c r="A154" t="s">
        <v>636</v>
      </c>
      <c r="B154" s="5">
        <v>15631086</v>
      </c>
      <c r="C154" s="153" t="s">
        <v>637</v>
      </c>
      <c r="D154" s="153" t="s">
        <v>638</v>
      </c>
      <c r="F154" s="7" cm="1">
        <f t="array" ref="F154:H154">rgb_to_hsl(C154)</f>
        <v>300</v>
      </c>
      <c r="G154" s="7">
        <v>45.378151260504204</v>
      </c>
      <c r="H154" s="7">
        <v>72.156862745098039</v>
      </c>
      <c r="J154" s="541" t="str" cm="1">
        <f t="array" ref="J154">hsl_to_rgb(_xlfn.TEXTJOIN(", ",TRUE,$F154,$G154,$H154))</f>
        <v>216, 152, 216</v>
      </c>
      <c r="K154" s="542" t="str" cm="1">
        <f t="array" ref="K154">hsl_to_rgb(_xlfn.TEXTJOIN(", ",TRUE,$F154,$G154,K$2))</f>
        <v>93, 35, 93</v>
      </c>
      <c r="L154" s="543" t="str" cm="1">
        <f t="array" ref="L154">hsl_to_rgb(_xlfn.TEXTJOIN(", ",TRUE,$F154,$G154,L$2))</f>
        <v>220, 162, 220</v>
      </c>
    </row>
    <row r="155" spans="1:12" x14ac:dyDescent="0.25">
      <c r="A155" t="s">
        <v>639</v>
      </c>
      <c r="B155" s="5">
        <v>8388736</v>
      </c>
      <c r="C155" s="154" t="s">
        <v>640</v>
      </c>
      <c r="D155" s="154" t="s">
        <v>641</v>
      </c>
      <c r="F155" s="7" cm="1">
        <f t="array" ref="F155:H155">rgb_to_hsl(C155)</f>
        <v>300</v>
      </c>
      <c r="G155" s="7">
        <v>100</v>
      </c>
      <c r="H155" s="7">
        <v>25.098039215686274</v>
      </c>
      <c r="J155" s="544" t="str" cm="1">
        <f t="array" ref="J155">hsl_to_rgb(_xlfn.TEXTJOIN(", ",TRUE,$F155,$G155,$H155))</f>
        <v>128, 0, 128</v>
      </c>
      <c r="K155" s="544" t="str" cm="1">
        <f t="array" ref="K155">hsl_to_rgb(_xlfn.TEXTJOIN(", ",TRUE,$F155,$G155,K$2))</f>
        <v>128, 0, 128</v>
      </c>
      <c r="L155" s="545" t="str" cm="1">
        <f t="array" ref="L155">hsl_to_rgb(_xlfn.TEXTJOIN(", ",TRUE,$F155,$G155,L$2))</f>
        <v>255, 128, 255</v>
      </c>
    </row>
    <row r="156" spans="1:12" x14ac:dyDescent="0.25">
      <c r="A156" t="s">
        <v>642</v>
      </c>
      <c r="B156" s="5">
        <v>9109643</v>
      </c>
      <c r="C156" s="155" t="s">
        <v>643</v>
      </c>
      <c r="D156" s="155" t="s">
        <v>644</v>
      </c>
      <c r="F156" s="7" cm="1">
        <f t="array" ref="F156:H156">rgb_to_hsl(C156)</f>
        <v>300</v>
      </c>
      <c r="G156" s="7">
        <v>100</v>
      </c>
      <c r="H156" s="7">
        <v>27.254901960784313</v>
      </c>
      <c r="J156" s="546" t="str" cm="1">
        <f t="array" ref="J156">hsl_to_rgb(_xlfn.TEXTJOIN(", ",TRUE,$F156,$G156,$H156))</f>
        <v>139, 0, 139</v>
      </c>
      <c r="K156" s="544" t="str" cm="1">
        <f t="array" ref="K156">hsl_to_rgb(_xlfn.TEXTJOIN(", ",TRUE,$F156,$G156,K$2))</f>
        <v>128, 0, 128</v>
      </c>
      <c r="L156" s="545" t="str" cm="1">
        <f t="array" ref="L156">hsl_to_rgb(_xlfn.TEXTJOIN(", ",TRUE,$F156,$G156,L$2))</f>
        <v>255, 128, 255</v>
      </c>
    </row>
    <row r="157" spans="1:12" x14ac:dyDescent="0.25">
      <c r="A157" t="s">
        <v>645</v>
      </c>
      <c r="B157" s="5">
        <v>16711935</v>
      </c>
      <c r="C157" s="156" t="s">
        <v>646</v>
      </c>
      <c r="D157" s="156" t="s">
        <v>647</v>
      </c>
      <c r="F157" s="7" cm="1">
        <f t="array" ref="F157:H157">rgb_to_hsl(C157)</f>
        <v>300</v>
      </c>
      <c r="G157" s="7">
        <v>100</v>
      </c>
      <c r="H157" s="7">
        <v>50</v>
      </c>
      <c r="J157" s="547" t="str" cm="1">
        <f t="array" ref="J157">hsl_to_rgb(_xlfn.TEXTJOIN(", ",TRUE,$F157,$G157,$H157))</f>
        <v>255, 0, 255</v>
      </c>
      <c r="K157" s="544" t="str" cm="1">
        <f t="array" ref="K157">hsl_to_rgb(_xlfn.TEXTJOIN(", ",TRUE,$F157,$G157,K$2))</f>
        <v>128, 0, 128</v>
      </c>
      <c r="L157" s="545" t="str" cm="1">
        <f t="array" ref="L157">hsl_to_rgb(_xlfn.TEXTJOIN(", ",TRUE,$F157,$G157,L$2))</f>
        <v>255, 128, 255</v>
      </c>
    </row>
    <row r="158" spans="1:12" x14ac:dyDescent="0.25">
      <c r="A158" t="s">
        <v>648</v>
      </c>
      <c r="B158" s="5">
        <v>16711935</v>
      </c>
      <c r="C158" s="156" t="s">
        <v>646</v>
      </c>
      <c r="D158" s="156" t="s">
        <v>647</v>
      </c>
      <c r="F158" s="7" cm="1">
        <f t="array" ref="F158:H158">rgb_to_hsl(C158)</f>
        <v>300</v>
      </c>
      <c r="G158" s="7">
        <v>100</v>
      </c>
      <c r="H158" s="7">
        <v>50</v>
      </c>
      <c r="J158" s="547" t="str" cm="1">
        <f t="array" ref="J158">hsl_to_rgb(_xlfn.TEXTJOIN(", ",TRUE,$F158,$G158,$H158))</f>
        <v>255, 0, 255</v>
      </c>
      <c r="K158" s="544" t="str" cm="1">
        <f t="array" ref="K158">hsl_to_rgb(_xlfn.TEXTJOIN(", ",TRUE,$F158,$G158,K$2))</f>
        <v>128, 0, 128</v>
      </c>
      <c r="L158" s="545" t="str" cm="1">
        <f t="array" ref="L158">hsl_to_rgb(_xlfn.TEXTJOIN(", ",TRUE,$F158,$G158,L$2))</f>
        <v>255, 128, 255</v>
      </c>
    </row>
    <row r="159" spans="1:12" x14ac:dyDescent="0.25">
      <c r="A159" t="s">
        <v>649</v>
      </c>
      <c r="B159" s="5">
        <v>14053594</v>
      </c>
      <c r="C159" s="157" t="s">
        <v>650</v>
      </c>
      <c r="D159" s="157" t="s">
        <v>651</v>
      </c>
      <c r="F159" s="7" cm="1">
        <f t="array" ref="F159:H159">rgb_to_hsl(C159)</f>
        <v>302.2641509433962</v>
      </c>
      <c r="G159" s="7">
        <v>48.62385321100917</v>
      </c>
      <c r="H159" s="7">
        <v>64.705882352941174</v>
      </c>
      <c r="J159" s="548" t="str" cm="1">
        <f t="array" ref="J159">hsl_to_rgb(_xlfn.TEXTJOIN(", ",TRUE,$F159,$G159,$H159))</f>
        <v>209, 121, 205</v>
      </c>
      <c r="K159" s="549" t="str" cm="1">
        <f t="array" ref="K159">hsl_to_rgb(_xlfn.TEXTJOIN(", ",TRUE,$F159,$G159,K$2))</f>
        <v>95, 33, 92</v>
      </c>
      <c r="L159" s="550" t="str" cm="1">
        <f t="array" ref="L159">hsl_to_rgb(_xlfn.TEXTJOIN(", ",TRUE,$F159,$G159,L$2))</f>
        <v>222, 160, 220</v>
      </c>
    </row>
    <row r="160" spans="1:12" x14ac:dyDescent="0.25">
      <c r="A160" t="s">
        <v>652</v>
      </c>
      <c r="B160" s="5">
        <v>8721863</v>
      </c>
      <c r="C160" s="158" t="s">
        <v>653</v>
      </c>
      <c r="D160" s="158" t="s">
        <v>654</v>
      </c>
      <c r="F160" s="7" cm="1">
        <f t="array" ref="F160:H160">rgb_to_hsl(C160)</f>
        <v>322.24719101123594</v>
      </c>
      <c r="G160" s="7">
        <v>89.447236180904525</v>
      </c>
      <c r="H160" s="7">
        <v>43.137254901960787</v>
      </c>
      <c r="J160" s="551" t="str" cm="1">
        <f t="array" ref="J160">hsl_to_rgb(_xlfn.TEXTJOIN(", ",TRUE,$F160,$G160,$H160))</f>
        <v>208, 12, 135</v>
      </c>
      <c r="K160" s="552" t="str" cm="1">
        <f t="array" ref="K160">hsl_to_rgb(_xlfn.TEXTJOIN(", ",TRUE,$F160,$G160,K$2))</f>
        <v>121, 7, 78</v>
      </c>
      <c r="L160" s="553" t="str" cm="1">
        <f t="array" ref="L160">hsl_to_rgb(_xlfn.TEXTJOIN(", ",TRUE,$F160,$G160,L$2))</f>
        <v>248, 134, 206</v>
      </c>
    </row>
    <row r="161" spans="1:12" x14ac:dyDescent="0.25">
      <c r="A161" t="s">
        <v>655</v>
      </c>
      <c r="B161" s="5">
        <v>9639167</v>
      </c>
      <c r="C161" s="159" t="s">
        <v>656</v>
      </c>
      <c r="D161" s="159" t="s">
        <v>657</v>
      </c>
      <c r="F161" s="7" cm="1">
        <f t="array" ref="F161:H161">rgb_to_hsl(C161)</f>
        <v>327.57446808510639</v>
      </c>
      <c r="G161" s="7">
        <v>92.156862745098039</v>
      </c>
      <c r="H161" s="7">
        <v>53.921568627450981</v>
      </c>
      <c r="J161" s="554" t="str" cm="1">
        <f t="array" ref="J161">hsl_to_rgb(_xlfn.TEXTJOIN(", ",TRUE,$F161,$G161,$H161))</f>
        <v>246, 29, 146</v>
      </c>
      <c r="K161" s="555" t="str" cm="1">
        <f t="array" ref="K161">hsl_to_rgb(_xlfn.TEXTJOIN(", ",TRUE,$F161,$G161,K$2))</f>
        <v>122, 5, 69</v>
      </c>
      <c r="L161" s="556" t="str" cm="1">
        <f t="array" ref="L161">hsl_to_rgb(_xlfn.TEXTJOIN(", ",TRUE,$F161,$G161,L$2))</f>
        <v>250, 133, 196</v>
      </c>
    </row>
    <row r="162" spans="1:12" x14ac:dyDescent="0.25">
      <c r="A162" t="s">
        <v>658</v>
      </c>
      <c r="B162" s="5">
        <v>11823615</v>
      </c>
      <c r="C162" s="160" t="s">
        <v>659</v>
      </c>
      <c r="D162" s="160" t="s">
        <v>660</v>
      </c>
      <c r="F162" s="7" cm="1">
        <f t="array" ref="F162:H162">rgb_to_hsl(C162)</f>
        <v>330</v>
      </c>
      <c r="G162" s="7">
        <v>58.82352941176471</v>
      </c>
      <c r="H162" s="7">
        <v>70.588235294117638</v>
      </c>
      <c r="J162" s="557" t="str" cm="1">
        <f t="array" ref="J162">hsl_to_rgb(_xlfn.TEXTJOIN(", ",TRUE,$F162,$G162,$H162))</f>
        <v>224, 136, 180</v>
      </c>
      <c r="K162" s="558" t="str" cm="1">
        <f t="array" ref="K162">hsl_to_rgb(_xlfn.TEXTJOIN(", ",TRUE,$F162,$G162,K$2))</f>
        <v>101, 26, 64</v>
      </c>
      <c r="L162" s="559" t="str" cm="1">
        <f t="array" ref="L162">hsl_to_rgb(_xlfn.TEXTJOIN(", ",TRUE,$F162,$G162,L$2))</f>
        <v>229, 154, 191</v>
      </c>
    </row>
    <row r="163" spans="1:12" x14ac:dyDescent="0.25">
      <c r="A163" t="s">
        <v>661</v>
      </c>
      <c r="B163" s="5">
        <v>16118015</v>
      </c>
      <c r="C163" s="161" t="s">
        <v>662</v>
      </c>
      <c r="D163" s="161" t="s">
        <v>663</v>
      </c>
      <c r="F163" s="7" cm="1">
        <f t="array" ref="F163:H163">rgb_to_hsl(C163)</f>
        <v>339.99999999999994</v>
      </c>
      <c r="G163" s="7">
        <v>5.8823529411764719</v>
      </c>
      <c r="H163" s="7">
        <v>97.058823529411768</v>
      </c>
      <c r="J163" s="560" t="str" cm="1">
        <f t="array" ref="J163">hsl_to_rgb(_xlfn.TEXTJOIN(", ",TRUE,$F163,$G163,$H163))</f>
        <v>248, 247, 247</v>
      </c>
      <c r="K163" s="561" t="str" cm="1">
        <f t="array" ref="K163">hsl_to_rgb(_xlfn.TEXTJOIN(", ",TRUE,$F163,$G163,K$2))</f>
        <v>68, 60, 62</v>
      </c>
      <c r="L163" s="562" t="str" cm="1">
        <f t="array" ref="L163">hsl_to_rgb(_xlfn.TEXTJOIN(", ",TRUE,$F163,$G163,L$2))</f>
        <v>195, 188, 190</v>
      </c>
    </row>
    <row r="164" spans="1:12" x14ac:dyDescent="0.25">
      <c r="A164" t="s">
        <v>664</v>
      </c>
      <c r="B164" s="5">
        <v>9662683</v>
      </c>
      <c r="C164" s="162" t="s">
        <v>665</v>
      </c>
      <c r="D164" s="162" t="s">
        <v>666</v>
      </c>
      <c r="F164" s="7" cm="1">
        <f t="array" ref="F164:H164">rgb_to_hsl(C164)</f>
        <v>340.37383177570092</v>
      </c>
      <c r="G164" s="7">
        <v>48.858447488584474</v>
      </c>
      <c r="H164" s="7">
        <v>64.901960784313715</v>
      </c>
      <c r="J164" s="563" t="str" cm="1">
        <f t="array" ref="J164">hsl_to_rgb(_xlfn.TEXTJOIN(", ",TRUE,$F164,$G164,$H164))</f>
        <v>209, 122, 150</v>
      </c>
      <c r="K164" s="564" t="str" cm="1">
        <f t="array" ref="K164">hsl_to_rgb(_xlfn.TEXTJOIN(", ",TRUE,$F164,$G164,K$2))</f>
        <v>95, 33, 53</v>
      </c>
      <c r="L164" s="565" t="str" cm="1">
        <f t="array" ref="L164">hsl_to_rgb(_xlfn.TEXTJOIN(", ",TRUE,$F164,$G164,L$2))</f>
        <v>222, 160, 180</v>
      </c>
    </row>
    <row r="165" spans="1:12" x14ac:dyDescent="0.25">
      <c r="A165" t="s">
        <v>667</v>
      </c>
      <c r="B165" s="5">
        <v>3937500</v>
      </c>
      <c r="C165" s="163" t="s">
        <v>668</v>
      </c>
      <c r="D165" s="163" t="s">
        <v>669</v>
      </c>
      <c r="F165" s="7" cm="1">
        <f t="array" ref="F165:H165">rgb_to_hsl(C165)</f>
        <v>348</v>
      </c>
      <c r="G165" s="7">
        <v>90.909090909090921</v>
      </c>
      <c r="H165" s="7">
        <v>47.058823529411761</v>
      </c>
      <c r="J165" s="566" t="str" cm="1">
        <f t="array" ref="J165">hsl_to_rgb(_xlfn.TEXTJOIN(", ",TRUE,$F165,$G165,$H165))</f>
        <v>229, 11, 55</v>
      </c>
      <c r="K165" s="567" t="str" cm="1">
        <f t="array" ref="K165">hsl_to_rgb(_xlfn.TEXTJOIN(", ",TRUE,$F165,$G165,K$2))</f>
        <v>122, 6, 29</v>
      </c>
      <c r="L165" s="568" t="str" cm="1">
        <f t="array" ref="L165">hsl_to_rgb(_xlfn.TEXTJOIN(", ",TRUE,$F165,$G165,L$2))</f>
        <v>249, 133, 156</v>
      </c>
    </row>
    <row r="166" spans="1:12" x14ac:dyDescent="0.25">
      <c r="A166" t="s">
        <v>670</v>
      </c>
      <c r="B166" s="5">
        <v>13353215</v>
      </c>
      <c r="C166" s="164" t="s">
        <v>671</v>
      </c>
      <c r="D166" s="164" t="s">
        <v>672</v>
      </c>
      <c r="F166" s="7" cm="1">
        <f t="array" ref="F166:H166">rgb_to_hsl(C166)</f>
        <v>349.52380952380952</v>
      </c>
      <c r="G166" s="7">
        <v>24.705882352941178</v>
      </c>
      <c r="H166" s="7">
        <v>87.647058823529406</v>
      </c>
      <c r="J166" s="569" t="str" cm="1">
        <f t="array" ref="J166">hsl_to_rgb(_xlfn.TEXTJOIN(", ",TRUE,$F166,$G166,$H166))</f>
        <v>231, 216, 218</v>
      </c>
      <c r="K166" s="570" t="str" cm="1">
        <f t="array" ref="K166">hsl_to_rgb(_xlfn.TEXTJOIN(", ",TRUE,$F166,$G166,K$2))</f>
        <v>80, 48, 53</v>
      </c>
      <c r="L166" s="571" t="str" cm="1">
        <f t="array" ref="L166">hsl_to_rgb(_xlfn.TEXTJOIN(", ",TRUE,$F166,$G166,L$2))</f>
        <v>207, 176, 181</v>
      </c>
    </row>
    <row r="167" spans="1:12" x14ac:dyDescent="0.25">
      <c r="A167" t="s">
        <v>673</v>
      </c>
      <c r="B167" s="5">
        <v>12695295</v>
      </c>
      <c r="C167" s="165" t="s">
        <v>674</v>
      </c>
      <c r="D167" s="165" t="s">
        <v>675</v>
      </c>
      <c r="F167" s="7" cm="1">
        <f t="array" ref="F167:H167">rgb_to_hsl(C167)</f>
        <v>350.95890410958907</v>
      </c>
      <c r="G167" s="7">
        <v>28.627450980392155</v>
      </c>
      <c r="H167" s="7">
        <v>85.686274509803923</v>
      </c>
      <c r="J167" s="572" t="str" cm="1">
        <f t="array" ref="J167">hsl_to_rgb(_xlfn.TEXTJOIN(", ",TRUE,$F167,$G167,$H167))</f>
        <v>229, 208, 211</v>
      </c>
      <c r="K167" s="573" t="str" cm="1">
        <f t="array" ref="K167">hsl_to_rgb(_xlfn.TEXTJOIN(", ",TRUE,$F167,$G167,K$2))</f>
        <v>82, 45, 51</v>
      </c>
      <c r="L167" s="574" t="str" cm="1">
        <f t="array" ref="L167">hsl_to_rgb(_xlfn.TEXTJOIN(", ",TRUE,$F167,$G167,L$2))</f>
        <v>210, 173, 178</v>
      </c>
    </row>
    <row r="168" spans="1:12" x14ac:dyDescent="0.25">
      <c r="B168" s="5"/>
      <c r="F168" s="7"/>
      <c r="G168" s="7"/>
      <c r="H168" s="7"/>
    </row>
    <row r="169" spans="1:12" x14ac:dyDescent="0.25">
      <c r="B169" s="5"/>
      <c r="F169" s="7"/>
      <c r="G169" s="7"/>
      <c r="H169" s="7"/>
    </row>
    <row r="170" spans="1:12" x14ac:dyDescent="0.25">
      <c r="B170" s="5"/>
      <c r="F170" s="7"/>
      <c r="G170" s="7"/>
      <c r="H170" s="7"/>
    </row>
    <row r="171" spans="1:12" x14ac:dyDescent="0.25">
      <c r="B171" s="5"/>
      <c r="F171" s="7"/>
      <c r="G171" s="7"/>
      <c r="H171" s="7"/>
    </row>
    <row r="172" spans="1:12" x14ac:dyDescent="0.25">
      <c r="B172" s="5"/>
      <c r="F172" s="7"/>
      <c r="G172" s="7"/>
      <c r="H172" s="7"/>
    </row>
    <row r="173" spans="1:12" x14ac:dyDescent="0.25">
      <c r="B173" s="5"/>
      <c r="F173" s="7"/>
      <c r="G173" s="7"/>
      <c r="H173" s="7"/>
    </row>
    <row r="174" spans="1:12" x14ac:dyDescent="0.25">
      <c r="B174" s="5"/>
      <c r="F174" s="7"/>
      <c r="G174" s="7"/>
      <c r="H174" s="7"/>
    </row>
    <row r="175" spans="1:12" x14ac:dyDescent="0.25">
      <c r="B175" s="5"/>
      <c r="F175" s="7"/>
      <c r="G175" s="7"/>
      <c r="H175" s="7"/>
    </row>
    <row r="176" spans="1:12" x14ac:dyDescent="0.25">
      <c r="B176" s="5"/>
      <c r="F176" s="7"/>
      <c r="G176" s="7"/>
      <c r="H176" s="7"/>
    </row>
    <row r="177" spans="2:8" x14ac:dyDescent="0.25">
      <c r="B177" s="5"/>
      <c r="F177" s="7"/>
      <c r="G177" s="7"/>
      <c r="H177" s="7"/>
    </row>
    <row r="178" spans="2:8" x14ac:dyDescent="0.25">
      <c r="B178" s="5"/>
      <c r="F178" s="7"/>
      <c r="G178" s="7"/>
      <c r="H178" s="7"/>
    </row>
    <row r="179" spans="2:8" x14ac:dyDescent="0.25">
      <c r="B179" s="5"/>
      <c r="F179" s="7"/>
      <c r="G179" s="7"/>
      <c r="H179" s="7"/>
    </row>
    <row r="180" spans="2:8" x14ac:dyDescent="0.25">
      <c r="B180" s="5"/>
      <c r="F180" s="7"/>
      <c r="G180" s="7"/>
      <c r="H180" s="7"/>
    </row>
    <row r="181" spans="2:8" x14ac:dyDescent="0.25">
      <c r="B181" s="5"/>
      <c r="F181" s="7"/>
      <c r="G181" s="7"/>
      <c r="H181" s="7"/>
    </row>
    <row r="182" spans="2:8" x14ac:dyDescent="0.25">
      <c r="B182" s="5"/>
      <c r="F182" s="7"/>
      <c r="G182" s="7"/>
      <c r="H182" s="7"/>
    </row>
    <row r="183" spans="2:8" x14ac:dyDescent="0.25">
      <c r="B183" s="5"/>
      <c r="F183" s="7"/>
      <c r="G183" s="7"/>
      <c r="H183" s="7"/>
    </row>
    <row r="184" spans="2:8" x14ac:dyDescent="0.25">
      <c r="B184" s="5"/>
      <c r="F184" s="7"/>
      <c r="G184" s="7"/>
      <c r="H184" s="7"/>
    </row>
    <row r="185" spans="2:8" x14ac:dyDescent="0.25">
      <c r="B185" s="5"/>
      <c r="F185" s="7"/>
      <c r="G185" s="7"/>
      <c r="H185" s="7"/>
    </row>
    <row r="186" spans="2:8" x14ac:dyDescent="0.25">
      <c r="B186" s="5"/>
      <c r="F186" s="7"/>
      <c r="G186" s="7"/>
      <c r="H186" s="7"/>
    </row>
    <row r="187" spans="2:8" x14ac:dyDescent="0.25">
      <c r="B187" s="5"/>
      <c r="F187" s="7"/>
      <c r="G187" s="7"/>
      <c r="H187" s="7"/>
    </row>
    <row r="188" spans="2:8" x14ac:dyDescent="0.25">
      <c r="B188" s="5"/>
      <c r="F188" s="7"/>
      <c r="G188" s="7"/>
      <c r="H188" s="7"/>
    </row>
    <row r="189" spans="2:8" x14ac:dyDescent="0.25">
      <c r="B189" s="5"/>
      <c r="F189" s="7"/>
      <c r="G189" s="7"/>
      <c r="H189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Schemes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Standal (Ben) CIV USARMY CEPOJ (USA)</dc:creator>
  <cp:lastModifiedBy>Fisher, Benjamin Standal (Ben) CIV USARMY CEPOJ (USA)</cp:lastModifiedBy>
  <cp:lastPrinted>2026-07-15T03:43:54Z</cp:lastPrinted>
  <dcterms:created xsi:type="dcterms:W3CDTF">2026-07-06T06:34:31Z</dcterms:created>
  <dcterms:modified xsi:type="dcterms:W3CDTF">2026-07-21T03:52:22Z</dcterms:modified>
</cp:coreProperties>
</file>