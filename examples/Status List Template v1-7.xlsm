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2ee9bsf\Documents\03 Repos\01 Local VBA\05 Table Templates\Github Resources\"/>
    </mc:Choice>
  </mc:AlternateContent>
  <xr:revisionPtr revIDLastSave="0" documentId="13_ncr:1_{9BA29FDC-BFC1-4BAD-B9E5-2322FEF3E696}" xr6:coauthVersionLast="47" xr6:coauthVersionMax="47" xr10:uidLastSave="{00000000-0000-0000-0000-000000000000}"/>
  <bookViews>
    <workbookView xWindow="3510" yWindow="1290" windowWidth="20175" windowHeight="12870" firstSheet="3" activeTab="3" xr2:uid="{213B044E-F532-44D1-91B5-30B851354F51}"/>
  </bookViews>
  <sheets>
    <sheet name="logos" sheetId="1" state="veryHidden" r:id="rId1"/>
    <sheet name="contacts" sheetId="4" state="veryHidden" r:id="rId2"/>
    <sheet name="template" sheetId="2" state="veryHidden" r:id="rId3"/>
    <sheet name="POAM" sheetId="6" r:id="rId4"/>
  </sheets>
  <functionGroups builtInGroupCount="19"/>
  <definedNames>
    <definedName name="_xlnm.Print_Titles" localSheetId="0">logos!#REF!</definedName>
    <definedName name="_xlnm.Print_Titles" localSheetId="3">POAM!$37:$37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2" l="1"/>
  <c r="D28" i="2"/>
  <c r="D29" i="2"/>
  <c r="D30" i="2"/>
  <c r="D31" i="2"/>
  <c r="D32" i="2"/>
  <c r="D33" i="2"/>
  <c r="D34" i="2"/>
  <c r="D35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D27" i="6"/>
  <c r="D28" i="6"/>
  <c r="D29" i="6"/>
  <c r="D30" i="6"/>
  <c r="D31" i="6"/>
  <c r="D32" i="6"/>
  <c r="D33" i="6"/>
  <c r="D34" i="6"/>
  <c r="D35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G4" i="4" l="1"/>
</calcChain>
</file>

<file path=xl/sharedStrings.xml><?xml version="1.0" encoding="utf-8"?>
<sst xmlns="http://schemas.openxmlformats.org/spreadsheetml/2006/main" count="102" uniqueCount="57">
  <si>
    <t>ID</t>
  </si>
  <si>
    <t>Status</t>
  </si>
  <si>
    <t>Date</t>
  </si>
  <si>
    <t>Resolution</t>
  </si>
  <si>
    <t>Description</t>
  </si>
  <si>
    <t>Days Open</t>
  </si>
  <si>
    <t>Action</t>
  </si>
  <si>
    <t>Project:</t>
  </si>
  <si>
    <t>A/E:</t>
  </si>
  <si>
    <t>PM:</t>
  </si>
  <si>
    <t>TL:</t>
  </si>
  <si>
    <t>Saved:</t>
  </si>
  <si>
    <t>DM:</t>
  </si>
  <si>
    <t>Arch:</t>
  </si>
  <si>
    <t>Civ:</t>
  </si>
  <si>
    <t>Str:</t>
  </si>
  <si>
    <t>Elec:</t>
  </si>
  <si>
    <t>Mech:</t>
  </si>
  <si>
    <t>Fire:</t>
  </si>
  <si>
    <t>TSvc:</t>
  </si>
  <si>
    <t>Cost:</t>
  </si>
  <si>
    <t>VE:</t>
  </si>
  <si>
    <t>Env:</t>
  </si>
  <si>
    <t>Sust:</t>
  </si>
  <si>
    <t>COS/CX:</t>
  </si>
  <si>
    <t>Planning</t>
  </si>
  <si>
    <t>Concept</t>
  </si>
  <si>
    <t>Final</t>
  </si>
  <si>
    <t>RTA</t>
  </si>
  <si>
    <t>Discipline</t>
  </si>
  <si>
    <t>Created</t>
  </si>
  <si>
    <t>No</t>
  </si>
  <si>
    <t>Name</t>
  </si>
  <si>
    <t>Email</t>
  </si>
  <si>
    <t>Symbol</t>
  </si>
  <si>
    <t>Title</t>
  </si>
  <si>
    <t>Phone</t>
  </si>
  <si>
    <t>Mailto Link</t>
  </si>
  <si>
    <t>▼ Project Delivery Team</t>
  </si>
  <si>
    <t>Kickoff</t>
  </si>
  <si>
    <t>Intermed</t>
  </si>
  <si>
    <t>Backcheck</t>
  </si>
  <si>
    <t>Advertise</t>
  </si>
  <si>
    <t>Award</t>
  </si>
  <si>
    <t>Plan of Action and Milestones (POAM)</t>
  </si>
  <si>
    <t>P2:</t>
  </si>
  <si>
    <t>◁ PA:</t>
  </si>
  <si>
    <t>▽ LCC:</t>
  </si>
  <si>
    <t>Start</t>
  </si>
  <si>
    <t>End</t>
  </si>
  <si>
    <t>▽ Duration:</t>
  </si>
  <si>
    <t>▼ Schedule Overview</t>
  </si>
  <si>
    <t>Status v1.7</t>
  </si>
  <si>
    <t>Smith, J</t>
  </si>
  <si>
    <t>john.smith@acme.com</t>
  </si>
  <si>
    <t>Person</t>
  </si>
  <si>
    <t>123-4567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</si>
</sst>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mm/dd/yyyy"/>
    <numFmt numFmtId="165" formatCode="m/d/yyyy\ h:mm\ AM/PM"/>
    <numFmt numFmtId="166" formatCode="&quot;$&quot;#,###"/>
    <numFmt numFmtId="167" formatCode="mm/dd/yy;@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sz val="9.5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EBEBEB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165" fontId="0" fillId="0" borderId="0" xfId="0" applyNumberFormat="1" applyAlignment="1">
      <alignment horizontal="left"/>
    </xf>
    <xf numFmtId="22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1"/>
    <xf numFmtId="0" fontId="4" fillId="0" borderId="0" xfId="0" applyFont="1" applyAlignment="1">
      <alignment horizontal="right"/>
    </xf>
    <xf numFmtId="0" fontId="2" fillId="2" borderId="1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66" fontId="0" fillId="2" borderId="4" xfId="0" applyNumberFormat="1" applyFill="1" applyBorder="1" applyAlignment="1">
      <alignment horizontal="right"/>
    </xf>
    <xf numFmtId="0" fontId="0" fillId="2" borderId="1" xfId="0" applyFill="1" applyBorder="1" applyAlignment="1">
      <alignment horizontal="left"/>
    </xf>
    <xf numFmtId="167" fontId="0" fillId="2" borderId="1" xfId="0" applyNumberFormat="1" applyFill="1" applyBorder="1" applyAlignment="1">
      <alignment horizontal="left"/>
    </xf>
    <xf numFmtId="167" fontId="0" fillId="2" borderId="2" xfId="0" applyNumberFormat="1" applyFill="1" applyBorder="1" applyAlignment="1">
      <alignment horizontal="left"/>
    </xf>
    <xf numFmtId="167" fontId="0" fillId="2" borderId="3" xfId="0" applyNumberForma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wrapText="1"/>
    </xf>
    <xf numFmtId="164" fontId="0" fillId="0" borderId="0" xfId="0" applyNumberFormat="1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36"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4500"/>
        </patternFill>
      </fill>
    </dxf>
    <dxf>
      <font>
        <b val="0"/>
        <i val="0"/>
        <color rgb="FF3CB371"/>
      </font>
      <fill>
        <patternFill>
          <bgColor rgb="FFF5FFFA"/>
        </patternFill>
      </fill>
    </dxf>
    <dxf>
      <font>
        <b val="0"/>
        <i val="0"/>
        <color rgb="FF000000"/>
      </font>
      <fill>
        <patternFill>
          <bgColor rgb="FFFFFFE0"/>
        </patternFill>
      </fill>
    </dxf>
    <dxf>
      <font>
        <b val="0"/>
        <i val="0"/>
        <color rgb="FFB22222"/>
      </font>
      <fill>
        <patternFill>
          <bgColor rgb="FFFFF0F5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4500"/>
        </patternFill>
      </fill>
    </dxf>
    <dxf>
      <font>
        <b val="0"/>
        <i val="0"/>
        <color rgb="FF3CB371"/>
      </font>
      <fill>
        <patternFill>
          <bgColor rgb="FFF5FFFA"/>
        </patternFill>
      </fill>
    </dxf>
    <dxf>
      <font>
        <b val="0"/>
        <i val="0"/>
        <color rgb="FF000000"/>
      </font>
      <fill>
        <patternFill>
          <bgColor rgb="FFFFFFE0"/>
        </patternFill>
      </fill>
    </dxf>
    <dxf>
      <font>
        <b val="0"/>
        <i val="0"/>
        <color rgb="FFB22222"/>
      </font>
      <fill>
        <patternFill>
          <bgColor rgb="FFFFF0F5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mm/dd/yyyy"/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mm/dd/yyyy"/>
      <alignment horizontal="lef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border>
        <top style="thin">
          <color rgb="FFD3D3D3"/>
        </top>
        <bottom style="thin">
          <color rgb="FFD3D3D3"/>
        </bottom>
      </border>
    </dxf>
    <dxf>
      <font>
        <b/>
        <i val="0"/>
        <color rgb="FFFFFFFF"/>
      </font>
      <fill>
        <patternFill>
          <bgColor rgb="FF1E90FF"/>
        </patternFill>
      </fill>
    </dxf>
  </dxfs>
  <tableStyles count="1" defaultTableStyle="TableStyleMedium2" defaultPivotStyle="PivotStyleLight16">
    <tableStyle name="Status Table" pivot="0" count="2" xr9:uid="{EFFFD955-D62F-4203-997F-76E8A73A38AD}">
      <tableStyleElement type="headerRow" dxfId="35"/>
      <tableStyleElement type="secondRowStripe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jpe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255987</xdr:colOff>
      <xdr:row>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B8E2257-E106-46D1-A8FD-3BFDB6E17E3D}"/>
            </a:ext>
          </a:extLst>
        </xdr:cNvPr>
        <xdr:cNvGrpSpPr>
          <a:grpSpLocks noChangeAspect="1"/>
        </xdr:cNvGrpSpPr>
      </xdr:nvGrpSpPr>
      <xdr:grpSpPr>
        <a:xfrm>
          <a:off x="0" y="0"/>
          <a:ext cx="2141937" cy="771525"/>
          <a:chOff x="9954113" y="47448"/>
          <a:chExt cx="2146912" cy="766733"/>
        </a:xfrm>
      </xdr:grpSpPr>
      <xdr:pic>
        <xdr:nvPicPr>
          <xdr:cNvPr id="3" name="Graphic 2">
            <a:extLst>
              <a:ext uri="{FF2B5EF4-FFF2-40B4-BE49-F238E27FC236}">
                <a16:creationId xmlns:a16="http://schemas.microsoft.com/office/drawing/2014/main" id="{81D40629-AE66-57DE-E648-EB3558C4B0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4" name="Graphic 3">
            <a:extLst>
              <a:ext uri="{FF2B5EF4-FFF2-40B4-BE49-F238E27FC236}">
                <a16:creationId xmlns:a16="http://schemas.microsoft.com/office/drawing/2014/main" id="{F547BF65-E1CD-453C-9D63-314EBEC717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DF0C9F51-D2C8-B2F2-936D-366AF43E81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4113" y="47448"/>
            <a:ext cx="766733" cy="76673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</xdr:colOff>
      <xdr:row>0</xdr:row>
      <xdr:rowOff>0</xdr:rowOff>
    </xdr:from>
    <xdr:to>
      <xdr:col>7</xdr:col>
      <xdr:colOff>456012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291C4785-9205-4D90-AE6E-281FEA0518F3}"/>
            </a:ext>
          </a:extLst>
        </xdr:cNvPr>
        <xdr:cNvGrpSpPr>
          <a:grpSpLocks noChangeAspect="1"/>
        </xdr:cNvGrpSpPr>
      </xdr:nvGrpSpPr>
      <xdr:grpSpPr>
        <a:xfrm>
          <a:off x="10248900" y="0"/>
          <a:ext cx="2141937" cy="771525"/>
          <a:chOff x="9954113" y="47448"/>
          <a:chExt cx="2146912" cy="766733"/>
        </a:xfrm>
      </xdr:grpSpPr>
      <xdr:pic>
        <xdr:nvPicPr>
          <xdr:cNvPr id="7" name="Graphic 6">
            <a:extLst>
              <a:ext uri="{FF2B5EF4-FFF2-40B4-BE49-F238E27FC236}">
                <a16:creationId xmlns:a16="http://schemas.microsoft.com/office/drawing/2014/main" id="{D3FC3A54-1053-3D8B-AE84-D3462E76B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8" name="Graphic 7">
            <a:extLst>
              <a:ext uri="{FF2B5EF4-FFF2-40B4-BE49-F238E27FC236}">
                <a16:creationId xmlns:a16="http://schemas.microsoft.com/office/drawing/2014/main" id="{63E37129-F0CA-CABC-655E-93E47B7387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E414440A-FEEF-6F81-C557-3953B6BEB0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4113" y="47448"/>
            <a:ext cx="766733" cy="766733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714375</xdr:colOff>
      <xdr:row>0</xdr:row>
      <xdr:rowOff>127000</xdr:rowOff>
    </xdr:from>
    <xdr:to>
      <xdr:col>4</xdr:col>
      <xdr:colOff>1984375</xdr:colOff>
      <xdr:row>3</xdr:row>
      <xdr:rowOff>73025</xdr:rowOff>
    </xdr:to>
    <xdr:sp macro="EmailTeam" textlink="">
      <xdr:nvSpPr>
        <xdr:cNvPr id="10" name="EmailButton">
          <a:extLst>
            <a:ext uri="{FF2B5EF4-FFF2-40B4-BE49-F238E27FC236}">
              <a16:creationId xmlns:a16="http://schemas.microsoft.com/office/drawing/2014/main" id="{9A8E61B0-686F-AE64-5813-55FF628F72D4}"/>
            </a:ext>
          </a:extLst>
        </xdr:cNvPr>
        <xdr:cNvSpPr/>
      </xdr:nvSpPr>
      <xdr:spPr>
        <a:xfrm>
          <a:off x="8572500" y="127000"/>
          <a:ext cx="1270000" cy="508000"/>
        </a:xfrm>
        <a:prstGeom prst="round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lIns="45720" rIns="45720" rtlCol="0" anchor="ctr"/>
        <a:lstStyle/>
        <a:p>
          <a:pPr algn="ctr"/>
          <a:r>
            <a:rPr lang="en-US" sz="1000">
              <a:latin typeface="Aptos" panose="020B0004020202020204" pitchFamily="34" charset="0"/>
            </a:rPr>
            <a:t>Copy PDT Email List to Clipboard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320040</xdr:colOff>
      <xdr:row>0</xdr:row>
      <xdr:rowOff>0</xdr:rowOff>
    </xdr:from>
    <xdr:to>
      <xdr:col>7</xdr:col>
      <xdr:colOff>766527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896F252-0318-41C1-99A5-4E469575D640}"/>
            </a:ext>
          </a:extLst>
        </xdr:cNvPr>
        <xdr:cNvGrpSpPr>
          <a:grpSpLocks noChangeAspect="1"/>
        </xdr:cNvGrpSpPr>
      </xdr:nvGrpSpPr>
      <xdr:grpSpPr>
        <a:xfrm>
          <a:off x="10559415" y="0"/>
          <a:ext cx="2141937" cy="771525"/>
          <a:chOff x="9954113" y="47448"/>
          <a:chExt cx="2146912" cy="766733"/>
        </a:xfrm>
      </xdr:grpSpPr>
      <xdr:pic>
        <xdr:nvPicPr>
          <xdr:cNvPr id="7" name="Graphic 6">
            <a:extLst>
              <a:ext uri="{FF2B5EF4-FFF2-40B4-BE49-F238E27FC236}">
                <a16:creationId xmlns:a16="http://schemas.microsoft.com/office/drawing/2014/main" id="{4616136A-45FA-57F3-409A-4B373608F6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8" name="Graphic 7">
            <a:extLst>
              <a:ext uri="{FF2B5EF4-FFF2-40B4-BE49-F238E27FC236}">
                <a16:creationId xmlns:a16="http://schemas.microsoft.com/office/drawing/2014/main" id="{F67DB270-BDD4-4C7B-13E4-D2E83F7E11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7CB23E50-C9D6-7266-53F9-2CDE65B0C1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4113" y="47448"/>
            <a:ext cx="766733" cy="766733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873125</xdr:colOff>
      <xdr:row>1</xdr:row>
      <xdr:rowOff>53975</xdr:rowOff>
    </xdr:from>
    <xdr:to>
      <xdr:col>3</xdr:col>
      <xdr:colOff>2143125</xdr:colOff>
      <xdr:row>3</xdr:row>
      <xdr:rowOff>149225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4E9DC65-7A0A-45EB-7B13-155A95CC1ED3}"/>
            </a:ext>
          </a:extLst>
        </xdr:cNvPr>
        <xdr:cNvSpPr/>
      </xdr:nvSpPr>
      <xdr:spPr>
        <a:xfrm>
          <a:off x="6350000" y="254000"/>
          <a:ext cx="1270000" cy="457200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miter lim="800000"/>
            </a14:hiddenLine>
          </a:ext>
        </a:extLst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873125</xdr:colOff>
      <xdr:row>1</xdr:row>
      <xdr:rowOff>53975</xdr:rowOff>
    </xdr:from>
    <xdr:to>
      <xdr:col>3</xdr:col>
      <xdr:colOff>2143125</xdr:colOff>
      <xdr:row>3</xdr:row>
      <xdr:rowOff>149225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102442D1-FF10-414B-5199-10782E8517F8}"/>
            </a:ext>
          </a:extLst>
        </xdr:cNvPr>
        <xdr:cNvSpPr/>
      </xdr:nvSpPr>
      <xdr:spPr>
        <a:xfrm>
          <a:off x="6350000" y="254000"/>
          <a:ext cx="1270000" cy="457200"/>
        </a:xfrm>
        <a:prstGeom prst="roundRect">
          <a:avLst/>
        </a:prstGeom>
        <a:noFill/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/>
              </a:solidFill>
              <a:prstDash val="solid"/>
              <a:miter lim="800000"/>
            </a14:hiddenLine>
          </a:ext>
        </a:extLst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714375</xdr:colOff>
      <xdr:row>0</xdr:row>
      <xdr:rowOff>127000</xdr:rowOff>
    </xdr:from>
    <xdr:to>
      <xdr:col>4</xdr:col>
      <xdr:colOff>1984375</xdr:colOff>
      <xdr:row>3</xdr:row>
      <xdr:rowOff>73025</xdr:rowOff>
    </xdr:to>
    <xdr:sp macro="EmailTeam" textlink="">
      <xdr:nvSpPr>
        <xdr:cNvPr id="25" name="EmailButton">
          <a:extLst>
            <a:ext uri="{FF2B5EF4-FFF2-40B4-BE49-F238E27FC236}">
              <a16:creationId xmlns:a16="http://schemas.microsoft.com/office/drawing/2014/main" id="{08038494-438B-4CAD-6983-7F29EA38FE86}"/>
            </a:ext>
          </a:extLst>
        </xdr:cNvPr>
        <xdr:cNvSpPr/>
      </xdr:nvSpPr>
      <xdr:spPr>
        <a:xfrm>
          <a:off x="8572500" y="127000"/>
          <a:ext cx="1270000" cy="508000"/>
        </a:xfrm>
        <a:prstGeom prst="round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5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lIns="45720" rIns="45720" rtlCol="0" anchor="ctr"/>
        <a:lstStyle/>
        <a:p>
          <a:pPr algn="ctr"/>
          <a:r>
            <a:rPr lang="en-US" sz="1000">
              <a:latin typeface="Aptos" panose="020B0004020202020204" pitchFamily="34" charset="0"/>
            </a:rPr>
            <a:t>Copy PDT Email List to Clipboard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E959C79-4751-4855-9EB5-226C4CEE542F}" name="contacts" displayName="contacts" ref="A3:G4" totalsRowShown="0">
  <autoFilter ref="A3:G4" xr:uid="{7A3F33D0-AF25-47F1-B385-D111FC5DC9CD}"/>
  <tableColumns count="7">
    <tableColumn id="1" xr3:uid="{378F683B-724C-4DCA-A12E-B44B79166818}" name="No" dataDxfId="33"/>
    <tableColumn id="2" xr3:uid="{103A213A-0355-4929-AC53-88809B18AA9C}" name="Name"/>
    <tableColumn id="3" xr3:uid="{CC7E375C-91DD-4A94-8B47-7A4D7CF9F424}" name="Email" dataCellStyle="Hyperlink"/>
    <tableColumn id="4" xr3:uid="{A3115B59-3922-4056-A51D-BA55521FA813}" name="Symbol"/>
    <tableColumn id="5" xr3:uid="{9FF55196-BECB-4607-B05E-E373496B3A29}" name="Title"/>
    <tableColumn id="6" xr3:uid="{983F45CD-D563-4B5E-B4EA-546C7AC7A155}" name="Phone"/>
    <tableColumn id="7" xr3:uid="{DB244410-0142-4053-ACFC-A77FCE76E89F}" name="Mailto Link" dataDxfId="32">
      <calculatedColumnFormula>HYPERLINK("mailto:"&amp;contacts[[#This Row],[Email]],contacts[[#This Row],[Name]])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874285-5A46-4AD6-83A9-C685088B2310}" name="StatusTable1" displayName="StatusTable1_1" ref="A37:H38" insertRow="1" totalsRowShown="0" headerRowDxfId="31" dataDxfId="30">
  <autoFilter ref="A37:H38" xr:uid="{3F874285-5A46-4AD6-83A9-C685088B2310}"/>
  <tableColumns count="8">
    <tableColumn id="1" xr3:uid="{2CDE0BDC-F788-4F55-8CD3-27D7CD3025C1}" name="ID" dataDxfId="29"/>
    <tableColumn id="2" xr3:uid="{C87192E6-5AAE-4160-9CEA-9AB22DB90C99}" name="Discipline" dataDxfId="28"/>
    <tableColumn id="3" xr3:uid="{E54A8783-0A12-4AD5-BAA7-07358D15A1A5}" name="Description" dataDxfId="27"/>
    <tableColumn id="4" xr3:uid="{19AEDC06-166E-42EC-8B8C-5456D32866C5}" name="Action" dataDxfId="26"/>
    <tableColumn id="5" xr3:uid="{DBF452A4-8E94-481D-A69D-6A7E15503C65}" name="Resolution" dataDxfId="25"/>
    <tableColumn id="6" xr3:uid="{2D82A21F-0DB0-4855-B5FF-A7A9A061D471}" name="Date" dataDxfId="24"/>
    <tableColumn id="7" xr3:uid="{86E461B1-477E-47B2-BA33-DB912A3ABF80}" name="Days Open" dataDxfId="23"/>
    <tableColumn id="8" xr3:uid="{01E2BB17-33FE-4FAE-87B0-C2E128A57D7C}" name="Status" dataDxfId="22"/>
  </tableColumns>
  <tableStyleInfo name="Status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13F2E9-BFE6-4778-914A-941B1D9E25D6}" name="StatusTable1" displayName="StatusTable1" ref="A37:H38" insertRow="1" totalsRowShown="0" headerRowDxfId="21" dataDxfId="20">
  <autoFilter ref="A37:H38" xr:uid="{0613F2E9-BFE6-4778-914A-941B1D9E25D6}"/>
  <tableColumns count="8">
    <tableColumn id="1" xr3:uid="{2278E9C4-099C-48B6-A07D-64B2E2D6E0A1}" name="ID" dataDxfId="19"/>
    <tableColumn id="2" xr3:uid="{D2B25235-68F2-4A31-8358-A4578685C4FF}" name="Discipline" dataDxfId="18"/>
    <tableColumn id="3" xr3:uid="{8AFB728E-FC4B-4C58-AE74-7D64F18748AB}" name="Description" dataDxfId="17"/>
    <tableColumn id="4" xr3:uid="{C1C9B831-C083-4696-9487-C428E69B20BA}" name="Action" dataDxfId="16"/>
    <tableColumn id="5" xr3:uid="{B0D38EE0-0C21-403A-ADA0-E153A812FBCE}" name="Resolution" dataDxfId="15"/>
    <tableColumn id="6" xr3:uid="{1EE5FF01-9CC9-4BDB-BC68-9F39DB9E7188}" name="Date" dataDxfId="14"/>
    <tableColumn id="7" xr3:uid="{5EC1CBE9-E4FC-432A-B35D-AC559D3A46E3}" name="Days Open" dataDxfId="13"/>
    <tableColumn id="8" xr3:uid="{BF6712F5-C358-4C1C-AC48-D09DF2622B29}" name="Status" dataDxfId="12"/>
  </tableColumns>
  <tableStyleInfo name="Status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john.smith@acme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6D92-044A-4B4A-8FBB-6FF53353FFED}">
  <sheetPr codeName="Sheet1"/>
  <dimension ref="A1"/>
  <sheetViews>
    <sheetView showGridLines="0" zoomScaleNormal="100" zoomScaleSheetLayoutView="100" workbookViewId="0">
      <selection activeCell="F33" sqref="F33"/>
    </sheetView>
  </sheetViews>
  <sheetFormatPr defaultColWidth="9.42578125" defaultRowHeight="12.75" x14ac:dyDescent="0.2"/>
  <sheetData/>
  <pageMargins left="0.5" right="0.5" top="0.7" bottom="0.7" header="0.3" footer="0.3"/>
  <pageSetup paperSize="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2691E-FCCE-4BBB-8077-793EC15A566F}">
  <sheetPr codeName="Sheet2"/>
  <dimension ref="A1:G4"/>
  <sheetViews>
    <sheetView showGridLines="0" workbookViewId="0">
      <selection activeCell="B1" sqref="B1"/>
    </sheetView>
  </sheetViews>
  <sheetFormatPr defaultRowHeight="12.75" x14ac:dyDescent="0.2"/>
  <cols>
    <col min="2" max="2" width="16.28515625" bestFit="1" customWidth="1"/>
    <col min="3" max="3" width="39.140625" bestFit="1" customWidth="1"/>
    <col min="4" max="4" width="14" bestFit="1" customWidth="1"/>
    <col min="5" max="5" width="47.140625" bestFit="1" customWidth="1"/>
    <col min="6" max="6" width="13.5703125" bestFit="1" customWidth="1"/>
    <col min="7" max="7" width="16.28515625" bestFit="1" customWidth="1"/>
  </cols>
  <sheetData>
    <row r="1" spans="1:7" ht="15.75" x14ac:dyDescent="0.25">
      <c r="A1" s="2" t="s">
        <v>30</v>
      </c>
      <c r="B1" s="4">
        <v>45300.409970601853</v>
      </c>
    </row>
    <row r="3" spans="1:7" x14ac:dyDescent="0.2">
      <c r="A3" t="s">
        <v>31</v>
      </c>
      <c r="B3" t="s">
        <v>32</v>
      </c>
      <c r="C3" t="s">
        <v>33</v>
      </c>
      <c r="D3" t="s">
        <v>34</v>
      </c>
      <c r="E3" t="s">
        <v>35</v>
      </c>
      <c r="F3" t="s">
        <v>36</v>
      </c>
      <c r="G3" t="s">
        <v>37</v>
      </c>
    </row>
    <row r="4" spans="1:7" x14ac:dyDescent="0.2">
      <c r="A4" s="5">
        <v>1</v>
      </c>
      <c r="B4" t="s">
        <v>53</v>
      </c>
      <c r="C4" s="6" t="s">
        <v>54</v>
      </c>
      <c r="E4" t="s">
        <v>55</v>
      </c>
      <c r="F4" t="s">
        <v>56</v>
      </c>
      <c r="G4" s="6" t="str">
        <f>HYPERLINK("mailto:"&amp;contacts[[#This Row],[Email]],contacts[[#This Row],[Name]])</f>
        <v>Smith, J</v>
      </c>
    </row>
  </sheetData>
  <hyperlinks>
    <hyperlink ref="C4" r:id="rId1" xr:uid="{5470F84F-1D3A-4AAD-8E28-19C5F402E876}"/>
  </hyperlinks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0094-A11F-4827-9CC3-844A0E0FD81C}">
  <sheetPr codeName="Sheet3"/>
  <dimension ref="A1:H38"/>
  <sheetViews>
    <sheetView showGridLines="0" workbookViewId="0">
      <selection activeCell="I25" sqref="I25"/>
    </sheetView>
  </sheetViews>
  <sheetFormatPr defaultRowHeight="12.75" outlineLevelRow="1" x14ac:dyDescent="0.2"/>
  <cols>
    <col min="1" max="1" width="10.7109375" customWidth="1"/>
    <col min="2" max="2" width="25.7109375" customWidth="1"/>
    <col min="3" max="3" width="45.7109375" customWidth="1"/>
    <col min="4" max="5" width="35.7109375" customWidth="1"/>
    <col min="6" max="8" width="12.7109375" customWidth="1"/>
  </cols>
  <sheetData>
    <row r="1" spans="1:8" ht="15.75" x14ac:dyDescent="0.25">
      <c r="A1" s="2" t="s">
        <v>44</v>
      </c>
    </row>
    <row r="3" spans="1:8" ht="15.75" x14ac:dyDescent="0.25">
      <c r="A3" s="1" t="s">
        <v>7</v>
      </c>
      <c r="B3" s="8"/>
      <c r="C3" s="17"/>
    </row>
    <row r="4" spans="1:8" x14ac:dyDescent="0.2">
      <c r="A4" s="1" t="s">
        <v>45</v>
      </c>
      <c r="B4" s="9"/>
      <c r="C4" s="11"/>
      <c r="D4" t="s">
        <v>46</v>
      </c>
    </row>
    <row r="5" spans="1:8" x14ac:dyDescent="0.2">
      <c r="A5" s="1" t="s">
        <v>8</v>
      </c>
      <c r="B5" s="10"/>
      <c r="C5" s="17"/>
      <c r="H5" s="7" t="s">
        <v>52</v>
      </c>
    </row>
    <row r="6" spans="1:8" x14ac:dyDescent="0.2">
      <c r="A6" s="1" t="s">
        <v>11</v>
      </c>
      <c r="B6" s="3">
        <v>45309.484965277778</v>
      </c>
    </row>
    <row r="8" spans="1:8" x14ac:dyDescent="0.2">
      <c r="A8" s="1" t="s">
        <v>38</v>
      </c>
    </row>
    <row r="9" spans="1:8" hidden="1" outlineLevel="1" x14ac:dyDescent="0.2">
      <c r="A9" t="s">
        <v>9</v>
      </c>
      <c r="B9" s="12"/>
      <c r="C9" s="12" t="str">
        <f>IFERROR(HYPERLINK(_xlfn.XLOOKUP($B9,contacts[Name],contacts[Email])),"")</f>
        <v/>
      </c>
    </row>
    <row r="10" spans="1:8" hidden="1" outlineLevel="1" x14ac:dyDescent="0.2">
      <c r="A10" t="s">
        <v>12</v>
      </c>
      <c r="B10" s="9"/>
      <c r="C10" s="9" t="str">
        <f>IFERROR(HYPERLINK(_xlfn.XLOOKUP($B10,contacts[Name],contacts[Email])),"")</f>
        <v/>
      </c>
      <c r="D10" t="s">
        <v>47</v>
      </c>
    </row>
    <row r="11" spans="1:8" hidden="1" outlineLevel="1" x14ac:dyDescent="0.2">
      <c r="A11" t="s">
        <v>10</v>
      </c>
      <c r="B11" s="9"/>
      <c r="C11" s="9" t="str">
        <f>IFERROR(HYPERLINK(_xlfn.XLOOKUP($B11,contacts[Name],contacts[Email])),"")</f>
        <v/>
      </c>
      <c r="D11" s="16"/>
    </row>
    <row r="12" spans="1:8" hidden="1" outlineLevel="1" x14ac:dyDescent="0.2">
      <c r="A12" t="s">
        <v>13</v>
      </c>
      <c r="B12" s="9"/>
      <c r="C12" s="9" t="str">
        <f>IFERROR(HYPERLINK(_xlfn.XLOOKUP($B12,contacts[Name],contacts[Email])),"")</f>
        <v/>
      </c>
    </row>
    <row r="13" spans="1:8" hidden="1" outlineLevel="1" x14ac:dyDescent="0.2">
      <c r="A13" t="s">
        <v>14</v>
      </c>
      <c r="B13" s="9"/>
      <c r="C13" s="9" t="str">
        <f>IFERROR(HYPERLINK(_xlfn.XLOOKUP($B13,contacts[Name],contacts[Email])),"")</f>
        <v/>
      </c>
    </row>
    <row r="14" spans="1:8" hidden="1" outlineLevel="1" x14ac:dyDescent="0.2">
      <c r="A14" t="s">
        <v>15</v>
      </c>
      <c r="B14" s="9"/>
      <c r="C14" s="9" t="str">
        <f>IFERROR(HYPERLINK(_xlfn.XLOOKUP($B14,contacts[Name],contacts[Email])),"")</f>
        <v/>
      </c>
    </row>
    <row r="15" spans="1:8" hidden="1" outlineLevel="1" x14ac:dyDescent="0.2">
      <c r="A15" t="s">
        <v>16</v>
      </c>
      <c r="B15" s="9"/>
      <c r="C15" s="9" t="str">
        <f>IFERROR(HYPERLINK(_xlfn.XLOOKUP($B15,contacts[Name],contacts[Email])),"")</f>
        <v/>
      </c>
    </row>
    <row r="16" spans="1:8" hidden="1" outlineLevel="1" x14ac:dyDescent="0.2">
      <c r="A16" t="s">
        <v>17</v>
      </c>
      <c r="B16" s="9"/>
      <c r="C16" s="9" t="str">
        <f>IFERROR(HYPERLINK(_xlfn.XLOOKUP($B16,contacts[Name],contacts[Email])),"")</f>
        <v/>
      </c>
    </row>
    <row r="17" spans="1:4" hidden="1" outlineLevel="1" x14ac:dyDescent="0.2">
      <c r="A17" t="s">
        <v>18</v>
      </c>
      <c r="B17" s="9"/>
      <c r="C17" s="9" t="str">
        <f>IFERROR(HYPERLINK(_xlfn.XLOOKUP($B17,contacts[Name],contacts[Email])),"")</f>
        <v/>
      </c>
    </row>
    <row r="18" spans="1:4" hidden="1" outlineLevel="1" x14ac:dyDescent="0.2">
      <c r="A18" t="s">
        <v>19</v>
      </c>
      <c r="B18" s="9"/>
      <c r="C18" s="9" t="str">
        <f>IFERROR(HYPERLINK(_xlfn.XLOOKUP($B18,contacts[Name],contacts[Email])),"")</f>
        <v/>
      </c>
    </row>
    <row r="19" spans="1:4" hidden="1" outlineLevel="1" x14ac:dyDescent="0.2">
      <c r="A19" t="s">
        <v>20</v>
      </c>
      <c r="B19" s="9"/>
      <c r="C19" s="9" t="str">
        <f>IFERROR(HYPERLINK(_xlfn.XLOOKUP($B19,contacts[Name],contacts[Email])),"")</f>
        <v/>
      </c>
    </row>
    <row r="20" spans="1:4" hidden="1" outlineLevel="1" x14ac:dyDescent="0.2">
      <c r="A20" t="s">
        <v>21</v>
      </c>
      <c r="B20" s="9"/>
      <c r="C20" s="9" t="str">
        <f>IFERROR(HYPERLINK(_xlfn.XLOOKUP($B20,contacts[Name],contacts[Email])),"")</f>
        <v/>
      </c>
    </row>
    <row r="21" spans="1:4" hidden="1" outlineLevel="1" x14ac:dyDescent="0.2">
      <c r="A21" t="s">
        <v>22</v>
      </c>
      <c r="B21" s="9"/>
      <c r="C21" s="9" t="str">
        <f>IFERROR(HYPERLINK(_xlfn.XLOOKUP($B21,contacts[Name],contacts[Email])),"")</f>
        <v/>
      </c>
    </row>
    <row r="22" spans="1:4" hidden="1" outlineLevel="1" x14ac:dyDescent="0.2">
      <c r="A22" t="s">
        <v>23</v>
      </c>
      <c r="B22" s="9"/>
      <c r="C22" s="9" t="str">
        <f>IFERROR(HYPERLINK(_xlfn.XLOOKUP($B22,contacts[Name],contacts[Email])),"")</f>
        <v/>
      </c>
    </row>
    <row r="23" spans="1:4" hidden="1" outlineLevel="1" x14ac:dyDescent="0.2">
      <c r="A23" t="s">
        <v>24</v>
      </c>
      <c r="B23" s="10"/>
      <c r="C23" s="10" t="str">
        <f>IFERROR(HYPERLINK(_xlfn.XLOOKUP($B23,contacts[Name],contacts[Email])),"")</f>
        <v/>
      </c>
    </row>
    <row r="24" spans="1:4" hidden="1" outlineLevel="1" x14ac:dyDescent="0.2"/>
    <row r="25" spans="1:4" collapsed="1" x14ac:dyDescent="0.2">
      <c r="A25" s="1" t="s">
        <v>51</v>
      </c>
    </row>
    <row r="26" spans="1:4" hidden="1" outlineLevel="1" x14ac:dyDescent="0.2">
      <c r="B26" t="s">
        <v>48</v>
      </c>
      <c r="C26" t="s">
        <v>49</v>
      </c>
      <c r="D26" t="s">
        <v>50</v>
      </c>
    </row>
    <row r="27" spans="1:4" hidden="1" outlineLevel="1" x14ac:dyDescent="0.2">
      <c r="A27" t="s">
        <v>39</v>
      </c>
      <c r="B27" s="13"/>
      <c r="C27" s="13"/>
      <c r="D27" s="5" t="str">
        <f t="shared" ref="D27:D35" si="0">IF(AND(B27&lt;&gt;"",C27&lt;&gt;"",_xlfn.DAYS(C27,B27)&gt;0),_xlfn.DAYS(C27,B27),"")</f>
        <v/>
      </c>
    </row>
    <row r="28" spans="1:4" hidden="1" outlineLevel="1" x14ac:dyDescent="0.2">
      <c r="A28" t="s">
        <v>25</v>
      </c>
      <c r="B28" s="14"/>
      <c r="C28" s="14"/>
      <c r="D28" s="5" t="str">
        <f t="shared" si="0"/>
        <v/>
      </c>
    </row>
    <row r="29" spans="1:4" hidden="1" outlineLevel="1" x14ac:dyDescent="0.2">
      <c r="A29" t="s">
        <v>26</v>
      </c>
      <c r="B29" s="14"/>
      <c r="C29" s="14"/>
      <c r="D29" s="5" t="str">
        <f t="shared" si="0"/>
        <v/>
      </c>
    </row>
    <row r="30" spans="1:4" hidden="1" outlineLevel="1" x14ac:dyDescent="0.2">
      <c r="A30" t="s">
        <v>40</v>
      </c>
      <c r="B30" s="14"/>
      <c r="C30" s="14"/>
      <c r="D30" s="5" t="str">
        <f t="shared" si="0"/>
        <v/>
      </c>
    </row>
    <row r="31" spans="1:4" hidden="1" outlineLevel="1" x14ac:dyDescent="0.2">
      <c r="A31" t="s">
        <v>27</v>
      </c>
      <c r="B31" s="14"/>
      <c r="C31" s="14"/>
      <c r="D31" s="5" t="str">
        <f t="shared" si="0"/>
        <v/>
      </c>
    </row>
    <row r="32" spans="1:4" hidden="1" outlineLevel="1" x14ac:dyDescent="0.2">
      <c r="A32" t="s">
        <v>41</v>
      </c>
      <c r="B32" s="14"/>
      <c r="C32" s="14"/>
      <c r="D32" s="5" t="str">
        <f t="shared" si="0"/>
        <v/>
      </c>
    </row>
    <row r="33" spans="1:8" hidden="1" outlineLevel="1" x14ac:dyDescent="0.2">
      <c r="A33" t="s">
        <v>28</v>
      </c>
      <c r="B33" s="14"/>
      <c r="C33" s="14"/>
      <c r="D33" s="5" t="str">
        <f t="shared" si="0"/>
        <v/>
      </c>
    </row>
    <row r="34" spans="1:8" hidden="1" outlineLevel="1" x14ac:dyDescent="0.2">
      <c r="A34" t="s">
        <v>42</v>
      </c>
      <c r="B34" s="14"/>
      <c r="C34" s="14"/>
      <c r="D34" s="5" t="str">
        <f t="shared" si="0"/>
        <v/>
      </c>
    </row>
    <row r="35" spans="1:8" hidden="1" outlineLevel="1" x14ac:dyDescent="0.2">
      <c r="A35" t="s">
        <v>43</v>
      </c>
      <c r="B35" s="15"/>
      <c r="C35" s="15"/>
      <c r="D35" s="5" t="str">
        <f t="shared" si="0"/>
        <v/>
      </c>
    </row>
    <row r="36" spans="1:8" collapsed="1" x14ac:dyDescent="0.2"/>
    <row r="37" spans="1:8" ht="18.75" customHeight="1" x14ac:dyDescent="0.2">
      <c r="A37" s="19" t="s">
        <v>0</v>
      </c>
      <c r="B37" s="19" t="s">
        <v>29</v>
      </c>
      <c r="C37" s="19" t="s">
        <v>4</v>
      </c>
      <c r="D37" s="19" t="s">
        <v>6</v>
      </c>
      <c r="E37" s="19" t="s">
        <v>3</v>
      </c>
      <c r="F37" s="19" t="s">
        <v>2</v>
      </c>
      <c r="G37" s="19" t="s">
        <v>5</v>
      </c>
      <c r="H37" s="19" t="s">
        <v>1</v>
      </c>
    </row>
    <row r="38" spans="1:8" ht="18.75" customHeight="1" x14ac:dyDescent="0.2">
      <c r="A38" s="18"/>
      <c r="B38" s="19"/>
      <c r="C38" s="19"/>
      <c r="D38" s="19"/>
      <c r="E38" s="19"/>
      <c r="F38" s="20"/>
      <c r="G38" s="18"/>
      <c r="H38" s="18"/>
    </row>
  </sheetData>
  <conditionalFormatting sqref="A38:G38">
    <cfRule type="expression" dxfId="11" priority="1" stopIfTrue="1">
      <formula>IF(LOWER($H38)="Urgent",TRUE,FALSE)</formula>
    </cfRule>
    <cfRule type="expression" dxfId="10" priority="2" stopIfTrue="1">
      <formula>IF(LOWER($H38)="Pending",TRUE,FALSE)</formula>
    </cfRule>
    <cfRule type="expression" dxfId="9" priority="3" stopIfTrue="1">
      <formula>IF(LOWER($H38)="Resolved",TRUE,FALSE)</formula>
    </cfRule>
  </conditionalFormatting>
  <conditionalFormatting sqref="H38">
    <cfRule type="expression" dxfId="8" priority="4" stopIfTrue="1">
      <formula>IF(LOWER($H38)="Urgent",TRUE,FALSE)</formula>
    </cfRule>
    <cfRule type="expression" dxfId="7" priority="5" stopIfTrue="1">
      <formula>IF(LOWER($H38)="Pending",TRUE,FALSE)</formula>
    </cfRule>
    <cfRule type="expression" dxfId="6" priority="6" stopIfTrue="1">
      <formula>IF(LOWER($H38)="Resolved",TRUE,FALSE)</formula>
    </cfRule>
  </conditionalFormatting>
  <dataValidations disablePrompts="1" count="2">
    <dataValidation type="list" allowBlank="1" showInputMessage="1" errorTitle="Disallowed Input" error="Please select from the options: Urgent, Pending, Resolved" sqref="H38" xr:uid="{358FF47E-BB74-4603-B3A8-49BC338EB2E9}">
      <formula1>"Urgent, Pending, Resolved"</formula1>
    </dataValidation>
    <dataValidation type="list" allowBlank="1" showInputMessage="1" sqref="B9:B23" xr:uid="{F41B5EF3-8409-4741-89D2-519EC072F7B8}">
      <formula1>INDIRECT("contacts[Name]")</formula1>
    </dataValidation>
  </dataValidations>
  <pageMargins left="0.7" right="0.7" top="0.75" bottom="0.75" header="0.3" footer="0.3"/>
  <pageSetup orientation="portrait" horizontalDpi="200" verticalDpi="2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C9D1D-A9C3-4B47-B96B-D5F6E2489351}">
  <sheetPr codeName="Sheet5"/>
  <dimension ref="A1:H38"/>
  <sheetViews>
    <sheetView showGridLines="0" tabSelected="1" workbookViewId="0">
      <selection activeCell="D43" sqref="D43"/>
    </sheetView>
  </sheetViews>
  <sheetFormatPr defaultRowHeight="12.75" outlineLevelRow="1" x14ac:dyDescent="0.2"/>
  <cols>
    <col min="1" max="1" width="10.7109375" customWidth="1"/>
    <col min="2" max="2" width="25.7109375" customWidth="1"/>
    <col min="3" max="3" width="45.7109375" customWidth="1"/>
    <col min="4" max="5" width="35.7109375" customWidth="1"/>
    <col min="6" max="8" width="12.7109375" customWidth="1"/>
  </cols>
  <sheetData>
    <row r="1" spans="1:8" ht="15.75" x14ac:dyDescent="0.25">
      <c r="A1" s="2" t="s">
        <v>44</v>
      </c>
    </row>
    <row r="3" spans="1:8" ht="15.75" x14ac:dyDescent="0.25">
      <c r="A3" s="1" t="s">
        <v>7</v>
      </c>
      <c r="B3" s="8"/>
      <c r="C3" s="17"/>
    </row>
    <row r="4" spans="1:8" x14ac:dyDescent="0.2">
      <c r="A4" s="1" t="s">
        <v>45</v>
      </c>
      <c r="B4" s="9"/>
      <c r="C4" s="11"/>
      <c r="D4" t="s">
        <v>46</v>
      </c>
    </row>
    <row r="5" spans="1:8" x14ac:dyDescent="0.2">
      <c r="A5" s="1" t="s">
        <v>8</v>
      </c>
      <c r="B5" s="10"/>
      <c r="C5" s="17"/>
      <c r="H5" s="7" t="s">
        <v>52</v>
      </c>
    </row>
    <row r="6" spans="1:8" x14ac:dyDescent="0.2">
      <c r="A6" s="1" t="s">
        <v>11</v>
      </c>
      <c r="B6" s="3">
        <v>45309.489606481482</v>
      </c>
    </row>
    <row r="8" spans="1:8" x14ac:dyDescent="0.2">
      <c r="A8" s="1" t="s">
        <v>38</v>
      </c>
    </row>
    <row r="9" spans="1:8" hidden="1" outlineLevel="1" x14ac:dyDescent="0.2">
      <c r="A9" t="s">
        <v>9</v>
      </c>
      <c r="B9" s="12"/>
      <c r="C9" s="12" t="str">
        <f>IFERROR(HYPERLINK(_xlfn.XLOOKUP($B9,contacts[Name],contacts[Email])),"")</f>
        <v/>
      </c>
    </row>
    <row r="10" spans="1:8" hidden="1" outlineLevel="1" x14ac:dyDescent="0.2">
      <c r="A10" t="s">
        <v>12</v>
      </c>
      <c r="B10" s="9"/>
      <c r="C10" s="9" t="str">
        <f>IFERROR(HYPERLINK(_xlfn.XLOOKUP($B10,contacts[Name],contacts[Email])),"")</f>
        <v/>
      </c>
      <c r="D10" t="s">
        <v>47</v>
      </c>
    </row>
    <row r="11" spans="1:8" hidden="1" outlineLevel="1" x14ac:dyDescent="0.2">
      <c r="A11" t="s">
        <v>10</v>
      </c>
      <c r="B11" s="9"/>
      <c r="C11" s="9" t="str">
        <f>IFERROR(HYPERLINK(_xlfn.XLOOKUP($B11,contacts[Name],contacts[Email])),"")</f>
        <v/>
      </c>
      <c r="D11" s="16"/>
    </row>
    <row r="12" spans="1:8" hidden="1" outlineLevel="1" x14ac:dyDescent="0.2">
      <c r="A12" t="s">
        <v>13</v>
      </c>
      <c r="B12" s="9"/>
      <c r="C12" s="9" t="str">
        <f>IFERROR(HYPERLINK(_xlfn.XLOOKUP($B12,contacts[Name],contacts[Email])),"")</f>
        <v/>
      </c>
    </row>
    <row r="13" spans="1:8" hidden="1" outlineLevel="1" x14ac:dyDescent="0.2">
      <c r="A13" t="s">
        <v>14</v>
      </c>
      <c r="B13" s="9"/>
      <c r="C13" s="9" t="str">
        <f>IFERROR(HYPERLINK(_xlfn.XLOOKUP($B13,contacts[Name],contacts[Email])),"")</f>
        <v/>
      </c>
    </row>
    <row r="14" spans="1:8" hidden="1" outlineLevel="1" x14ac:dyDescent="0.2">
      <c r="A14" t="s">
        <v>15</v>
      </c>
      <c r="B14" s="9"/>
      <c r="C14" s="9" t="str">
        <f>IFERROR(HYPERLINK(_xlfn.XLOOKUP($B14,contacts[Name],contacts[Email])),"")</f>
        <v/>
      </c>
    </row>
    <row r="15" spans="1:8" hidden="1" outlineLevel="1" x14ac:dyDescent="0.2">
      <c r="A15" t="s">
        <v>16</v>
      </c>
      <c r="B15" s="9"/>
      <c r="C15" s="9" t="str">
        <f>IFERROR(HYPERLINK(_xlfn.XLOOKUP($B15,contacts[Name],contacts[Email])),"")</f>
        <v/>
      </c>
    </row>
    <row r="16" spans="1:8" hidden="1" outlineLevel="1" x14ac:dyDescent="0.2">
      <c r="A16" t="s">
        <v>17</v>
      </c>
      <c r="B16" s="9"/>
      <c r="C16" s="9" t="str">
        <f>IFERROR(HYPERLINK(_xlfn.XLOOKUP($B16,contacts[Name],contacts[Email])),"")</f>
        <v/>
      </c>
    </row>
    <row r="17" spans="1:4" hidden="1" outlineLevel="1" x14ac:dyDescent="0.2">
      <c r="A17" t="s">
        <v>18</v>
      </c>
      <c r="B17" s="9"/>
      <c r="C17" s="9" t="str">
        <f>IFERROR(HYPERLINK(_xlfn.XLOOKUP($B17,contacts[Name],contacts[Email])),"")</f>
        <v/>
      </c>
    </row>
    <row r="18" spans="1:4" hidden="1" outlineLevel="1" x14ac:dyDescent="0.2">
      <c r="A18" t="s">
        <v>19</v>
      </c>
      <c r="B18" s="9"/>
      <c r="C18" s="9" t="str">
        <f>IFERROR(HYPERLINK(_xlfn.XLOOKUP($B18,contacts[Name],contacts[Email])),"")</f>
        <v/>
      </c>
    </row>
    <row r="19" spans="1:4" hidden="1" outlineLevel="1" x14ac:dyDescent="0.2">
      <c r="A19" t="s">
        <v>20</v>
      </c>
      <c r="B19" s="9"/>
      <c r="C19" s="9" t="str">
        <f>IFERROR(HYPERLINK(_xlfn.XLOOKUP($B19,contacts[Name],contacts[Email])),"")</f>
        <v/>
      </c>
    </row>
    <row r="20" spans="1:4" hidden="1" outlineLevel="1" x14ac:dyDescent="0.2">
      <c r="A20" t="s">
        <v>21</v>
      </c>
      <c r="B20" s="9"/>
      <c r="C20" s="9" t="str">
        <f>IFERROR(HYPERLINK(_xlfn.XLOOKUP($B20,contacts[Name],contacts[Email])),"")</f>
        <v/>
      </c>
    </row>
    <row r="21" spans="1:4" hidden="1" outlineLevel="1" x14ac:dyDescent="0.2">
      <c r="A21" t="s">
        <v>22</v>
      </c>
      <c r="B21" s="9"/>
      <c r="C21" s="9" t="str">
        <f>IFERROR(HYPERLINK(_xlfn.XLOOKUP($B21,contacts[Name],contacts[Email])),"")</f>
        <v/>
      </c>
    </row>
    <row r="22" spans="1:4" hidden="1" outlineLevel="1" x14ac:dyDescent="0.2">
      <c r="A22" t="s">
        <v>23</v>
      </c>
      <c r="B22" s="9"/>
      <c r="C22" s="9" t="str">
        <f>IFERROR(HYPERLINK(_xlfn.XLOOKUP($B22,contacts[Name],contacts[Email])),"")</f>
        <v/>
      </c>
    </row>
    <row r="23" spans="1:4" hidden="1" outlineLevel="1" x14ac:dyDescent="0.2">
      <c r="A23" t="s">
        <v>24</v>
      </c>
      <c r="B23" s="10"/>
      <c r="C23" s="10" t="str">
        <f>IFERROR(HYPERLINK(_xlfn.XLOOKUP($B23,contacts[Name],contacts[Email])),"")</f>
        <v/>
      </c>
    </row>
    <row r="24" spans="1:4" hidden="1" outlineLevel="1" x14ac:dyDescent="0.2"/>
    <row r="25" spans="1:4" collapsed="1" x14ac:dyDescent="0.2">
      <c r="A25" s="1" t="s">
        <v>51</v>
      </c>
    </row>
    <row r="26" spans="1:4" hidden="1" outlineLevel="1" x14ac:dyDescent="0.2">
      <c r="B26" t="s">
        <v>48</v>
      </c>
      <c r="C26" t="s">
        <v>49</v>
      </c>
      <c r="D26" t="s">
        <v>50</v>
      </c>
    </row>
    <row r="27" spans="1:4" hidden="1" outlineLevel="1" x14ac:dyDescent="0.2">
      <c r="A27" t="s">
        <v>39</v>
      </c>
      <c r="B27" s="13"/>
      <c r="C27" s="13"/>
      <c r="D27" s="5" t="str">
        <f t="shared" ref="D27:D35" si="0">IF(AND(B27&lt;&gt;"",C27&lt;&gt;"",_xlfn.DAYS(C27,B27)&gt;0),_xlfn.DAYS(C27,B27),"")</f>
        <v/>
      </c>
    </row>
    <row r="28" spans="1:4" hidden="1" outlineLevel="1" x14ac:dyDescent="0.2">
      <c r="A28" t="s">
        <v>25</v>
      </c>
      <c r="B28" s="14"/>
      <c r="C28" s="14"/>
      <c r="D28" s="5" t="str">
        <f t="shared" si="0"/>
        <v/>
      </c>
    </row>
    <row r="29" spans="1:4" hidden="1" outlineLevel="1" x14ac:dyDescent="0.2">
      <c r="A29" t="s">
        <v>26</v>
      </c>
      <c r="B29" s="14"/>
      <c r="C29" s="14"/>
      <c r="D29" s="5" t="str">
        <f t="shared" si="0"/>
        <v/>
      </c>
    </row>
    <row r="30" spans="1:4" hidden="1" outlineLevel="1" x14ac:dyDescent="0.2">
      <c r="A30" t="s">
        <v>40</v>
      </c>
      <c r="B30" s="14"/>
      <c r="C30" s="14"/>
      <c r="D30" s="5" t="str">
        <f t="shared" si="0"/>
        <v/>
      </c>
    </row>
    <row r="31" spans="1:4" hidden="1" outlineLevel="1" x14ac:dyDescent="0.2">
      <c r="A31" t="s">
        <v>27</v>
      </c>
      <c r="B31" s="14"/>
      <c r="C31" s="14"/>
      <c r="D31" s="5" t="str">
        <f t="shared" si="0"/>
        <v/>
      </c>
    </row>
    <row r="32" spans="1:4" hidden="1" outlineLevel="1" x14ac:dyDescent="0.2">
      <c r="A32" t="s">
        <v>41</v>
      </c>
      <c r="B32" s="14"/>
      <c r="C32" s="14"/>
      <c r="D32" s="5" t="str">
        <f t="shared" si="0"/>
        <v/>
      </c>
    </row>
    <row r="33" spans="1:8" hidden="1" outlineLevel="1" x14ac:dyDescent="0.2">
      <c r="A33" t="s">
        <v>28</v>
      </c>
      <c r="B33" s="14"/>
      <c r="C33" s="14"/>
      <c r="D33" s="5" t="str">
        <f t="shared" si="0"/>
        <v/>
      </c>
    </row>
    <row r="34" spans="1:8" hidden="1" outlineLevel="1" x14ac:dyDescent="0.2">
      <c r="A34" t="s">
        <v>42</v>
      </c>
      <c r="B34" s="14"/>
      <c r="C34" s="14"/>
      <c r="D34" s="5" t="str">
        <f t="shared" si="0"/>
        <v/>
      </c>
    </row>
    <row r="35" spans="1:8" hidden="1" outlineLevel="1" x14ac:dyDescent="0.2">
      <c r="A35" t="s">
        <v>43</v>
      </c>
      <c r="B35" s="15"/>
      <c r="C35" s="15"/>
      <c r="D35" s="5" t="str">
        <f t="shared" si="0"/>
        <v/>
      </c>
    </row>
    <row r="36" spans="1:8" collapsed="1" x14ac:dyDescent="0.2"/>
    <row r="37" spans="1:8" ht="18.75" customHeight="1" x14ac:dyDescent="0.2">
      <c r="A37" s="19" t="s">
        <v>0</v>
      </c>
      <c r="B37" s="19" t="s">
        <v>29</v>
      </c>
      <c r="C37" s="19" t="s">
        <v>4</v>
      </c>
      <c r="D37" s="19" t="s">
        <v>6</v>
      </c>
      <c r="E37" s="19" t="s">
        <v>3</v>
      </c>
      <c r="F37" s="19" t="s">
        <v>2</v>
      </c>
      <c r="G37" s="19" t="s">
        <v>5</v>
      </c>
      <c r="H37" s="19" t="s">
        <v>1</v>
      </c>
    </row>
    <row r="38" spans="1:8" ht="18.75" customHeight="1" x14ac:dyDescent="0.2">
      <c r="A38" s="18"/>
      <c r="B38" s="19"/>
      <c r="C38" s="19"/>
      <c r="D38" s="19"/>
      <c r="E38" s="19"/>
      <c r="F38" s="20"/>
      <c r="G38" s="18"/>
      <c r="H38" s="18"/>
    </row>
  </sheetData>
  <conditionalFormatting sqref="A38:G38">
    <cfRule type="expression" dxfId="5" priority="1" stopIfTrue="1">
      <formula>IF(LOWER($H38)="Urgent",TRUE,FALSE)</formula>
    </cfRule>
    <cfRule type="expression" dxfId="4" priority="2" stopIfTrue="1">
      <formula>IF(LOWER($H38)="Pending",TRUE,FALSE)</formula>
    </cfRule>
    <cfRule type="expression" dxfId="3" priority="3" stopIfTrue="1">
      <formula>IF(LOWER($H38)="Resolved",TRUE,FALSE)</formula>
    </cfRule>
  </conditionalFormatting>
  <conditionalFormatting sqref="H38">
    <cfRule type="expression" dxfId="2" priority="4" stopIfTrue="1">
      <formula>IF(LOWER($H38)="Urgent",TRUE,FALSE)</formula>
    </cfRule>
    <cfRule type="expression" dxfId="1" priority="5" stopIfTrue="1">
      <formula>IF(LOWER($H38)="Pending",TRUE,FALSE)</formula>
    </cfRule>
    <cfRule type="expression" dxfId="0" priority="6" stopIfTrue="1">
      <formula>IF(LOWER($H38)="Resolved",TRUE,FALSE)</formula>
    </cfRule>
  </conditionalFormatting>
  <dataValidations disablePrompts="1" count="2">
    <dataValidation type="list" allowBlank="1" showInputMessage="1" errorTitle="Disallowed Input" error="Please select from the options: Urgent, Pending, Resolved" sqref="H38" xr:uid="{CE78CC98-0740-48E2-8674-F709D653B619}">
      <formula1>"Urgent, Pending, Resolved"</formula1>
    </dataValidation>
    <dataValidation type="list" allowBlank="1" showInputMessage="1" sqref="B9:B23" xr:uid="{3465E3A5-F2D2-4E25-978A-C107F60F30E6}">
      <formula1>INDIRECT("contacts[Name]")</formula1>
    </dataValidation>
  </dataValidations>
  <printOptions horizontalCentered="1"/>
  <pageMargins left="0.5" right="0.5" top="0.7" bottom="0.7" header="0.3" footer="0.3"/>
  <pageSetup paperSize="3" orientation="landscape" r:id="rId1"/>
  <headerFooter>
    <oddFooter>&amp;CPage &amp;P of &amp;N&amp;L&amp;A&amp;RPrinted: &amp;D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POAM</vt:lpstr>
      <vt:lpstr>POAM!Print_Titles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Fisher, Benjamin S CIV USARMY CEPOJ (USA)</cp:lastModifiedBy>
  <cp:lastPrinted>2024-01-16T06:32:16Z</cp:lastPrinted>
  <dcterms:created xsi:type="dcterms:W3CDTF">2024-01-02T23:28:21Z</dcterms:created>
  <dcterms:modified xsi:type="dcterms:W3CDTF">2024-01-18T02:45:13Z</dcterms:modified>
</cp:coreProperties>
</file>